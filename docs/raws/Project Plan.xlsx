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canh/Projects/Seta/future/docs/raws/"/>
    </mc:Choice>
  </mc:AlternateContent>
  <xr:revisionPtr revIDLastSave="0" documentId="8_{2D142C37-FF7D-E948-B67F-E5013DAEEF3D}" xr6:coauthVersionLast="47" xr6:coauthVersionMax="47" xr10:uidLastSave="{00000000-0000-0000-0000-000000000000}"/>
  <bookViews>
    <workbookView xWindow="0" yWindow="660" windowWidth="34560" windowHeight="19740" activeTab="5" xr2:uid="{00000000-000D-0000-FFFF-FFFF00000000}"/>
  </bookViews>
  <sheets>
    <sheet name="00-TOC" sheetId="2" r:id="rId1"/>
    <sheet name="01-Charter" sheetId="17" r:id="rId2"/>
    <sheet name="02-Scope" sheetId="5" r:id="rId3"/>
    <sheet name="03-Approach" sheetId="7" r:id="rId4"/>
    <sheet name="04-Timeline" sheetId="6" r:id="rId5"/>
    <sheet name="04b-Gantt" sheetId="18" r:id="rId6"/>
    <sheet name="05-DCA" sheetId="9" r:id="rId7"/>
    <sheet name="06-RACI" sheetId="8" r:id="rId8"/>
    <sheet name="07-Risks" sheetId="10" r:id="rId9"/>
  </sheets>
  <definedNames>
    <definedName name="_xlchart.v2.0" hidden="1">'03-Approach'!$F$57:$F$60</definedName>
    <definedName name="_xlchart.v2.1" hidden="1">'03-Approach'!$G$56</definedName>
    <definedName name="_xlchart.v2.2" hidden="1">'03-Approach'!$G$57:$G$60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8" l="1"/>
  <c r="I5" i="18"/>
  <c r="H6" i="18"/>
  <c r="I6" i="18"/>
  <c r="H7" i="18"/>
  <c r="I7" i="18"/>
  <c r="H8" i="18"/>
  <c r="I8" i="18"/>
  <c r="H9" i="18"/>
  <c r="I9" i="18"/>
  <c r="H10" i="18"/>
  <c r="I10" i="18"/>
  <c r="H11" i="18"/>
  <c r="I11" i="18"/>
  <c r="H12" i="18"/>
  <c r="I12" i="18"/>
  <c r="H13" i="18"/>
  <c r="I13" i="18"/>
  <c r="H14" i="18"/>
  <c r="I14" i="18"/>
  <c r="H15" i="18"/>
  <c r="I15" i="18"/>
  <c r="H16" i="18"/>
  <c r="I16" i="18"/>
  <c r="G16" i="18"/>
  <c r="F16" i="18"/>
  <c r="G15" i="18"/>
  <c r="F15" i="18"/>
  <c r="G14" i="18"/>
  <c r="F14" i="18"/>
  <c r="G13" i="18"/>
  <c r="F13" i="18"/>
  <c r="G12" i="18"/>
  <c r="F12" i="18"/>
  <c r="G11" i="18"/>
  <c r="F11" i="18"/>
  <c r="G10" i="18"/>
  <c r="F10" i="18"/>
  <c r="G9" i="18"/>
  <c r="F9" i="18"/>
  <c r="G8" i="18"/>
  <c r="F8" i="18"/>
  <c r="G7" i="18"/>
  <c r="F7" i="18"/>
  <c r="G6" i="18"/>
  <c r="F6" i="18"/>
  <c r="G5" i="18"/>
  <c r="F5" i="18"/>
  <c r="M9" i="10"/>
  <c r="M8" i="10"/>
  <c r="M7" i="10"/>
  <c r="M6" i="10"/>
  <c r="P24" i="5"/>
  <c r="P38" i="5"/>
  <c r="P37" i="5"/>
  <c r="P32" i="5"/>
  <c r="P31" i="5"/>
  <c r="P30" i="5"/>
  <c r="P29" i="5"/>
  <c r="P26" i="5"/>
  <c r="P34" i="5" s="1"/>
  <c r="P25" i="5"/>
  <c r="P23" i="5"/>
  <c r="P20" i="5"/>
  <c r="P18" i="5"/>
  <c r="P17" i="5"/>
  <c r="P16" i="5"/>
  <c r="P15" i="5"/>
  <c r="P14" i="5"/>
  <c r="P8" i="5"/>
  <c r="O8" i="5" a="1"/>
  <c r="O8" i="5" s="1"/>
  <c r="N8" i="5" a="1"/>
  <c r="N8" i="5" s="1"/>
  <c r="P40" i="5" l="1"/>
  <c r="P39"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Canh Ta</author>
  </authors>
  <commentList>
    <comment ref="P14" authorId="0" shapeId="0" xr:uid="{12EBB1EA-89DE-784C-AACE-4275B1652D70}">
      <text>
        <r>
          <rPr>
            <b/>
            <sz val="10"/>
            <color rgb="FF000000"/>
            <rFont val="Tahoma"/>
            <family val="2"/>
          </rPr>
          <t>Canh Ta:</t>
        </r>
        <r>
          <rPr>
            <sz val="10"/>
            <color rgb="FF000000"/>
            <rFont val="Tahoma"/>
            <family val="2"/>
          </rPr>
          <t xml:space="preserve">
Weeks × 5 working days × allocation</t>
        </r>
      </text>
    </comment>
    <comment ref="P18" authorId="0" shapeId="0" xr:uid="{949A9EF6-AB1E-944B-8DBC-3A0FA2F70C2E}">
      <text>
        <r>
          <rPr>
            <b/>
            <sz val="10"/>
            <color rgb="FF000000"/>
            <rFont val="Tahoma"/>
            <family val="2"/>
          </rPr>
          <t>Canh Ta:</t>
        </r>
        <r>
          <rPr>
            <sz val="10"/>
            <color rgb="FF000000"/>
            <rFont val="Tahoma"/>
            <family val="2"/>
          </rPr>
          <t xml:space="preserve">
Stand-ups, sprint planning, reviews, retros, code reviews typically consume 15-25% of nominal capacity</t>
        </r>
      </text>
    </comment>
    <comment ref="P19" authorId="0" shapeId="0" xr:uid="{6C797EF5-66A4-C24A-A4F5-6ED22EC1F156}">
      <text>
        <r>
          <rPr>
            <b/>
            <sz val="10"/>
            <color rgb="FF000000"/>
            <rFont val="Tahoma"/>
            <family val="2"/>
          </rPr>
          <t>Canh Ta:</t>
        </r>
        <r>
          <rPr>
            <sz val="10"/>
            <color rgb="FF000000"/>
            <rFont val="Tahoma"/>
            <family val="2"/>
          </rPr>
          <t xml:space="preserve">
Per 04-Timeline Block 5: Mon 27 Apr, Thu 30 Apr, Fri 01 May</t>
        </r>
      </text>
    </comment>
    <comment ref="P24" authorId="0" shapeId="0" xr:uid="{DF35DAF0-9E41-AE43-A646-DA5FF96E6566}">
      <text>
        <r>
          <rPr>
            <b/>
            <sz val="10"/>
            <color rgb="FF000000"/>
            <rFont val="Tahoma"/>
            <family val="2"/>
          </rPr>
          <t>Canh Ta:</t>
        </r>
        <r>
          <rPr>
            <sz val="10"/>
            <color rgb="FF000000"/>
            <rFont val="Tahoma"/>
            <family val="2"/>
          </rPr>
          <t xml:space="preserve">
Part-time across 3 critical surfaces; estimate ~1 day/week</t>
        </r>
      </text>
    </comment>
    <comment ref="P25" authorId="0" shapeId="0" xr:uid="{482AEDF9-E31D-CB4F-9561-B9704557A074}">
      <text>
        <r>
          <rPr>
            <b/>
            <sz val="10"/>
            <color rgb="FF000000"/>
            <rFont val="Tahoma"/>
            <family val="2"/>
          </rPr>
          <t>Canh Ta:</t>
        </r>
        <r>
          <rPr>
            <sz val="10"/>
            <color rgb="FF000000"/>
            <rFont val="Tahoma"/>
            <family val="2"/>
          </rPr>
          <t xml:space="preserve">
Doc, coordination artifacts, launch comms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<sst xmlns="http://schemas.openxmlformats.org/spreadsheetml/2006/main" count="3012" uniqueCount="1677">
  <si>
    <t>Field</t>
  </si>
  <si>
    <t>Date</t>
  </si>
  <si>
    <t>Owner</t>
  </si>
  <si>
    <t>Role</t>
  </si>
  <si>
    <t>Hoang Nguyen</t>
  </si>
  <si>
    <t>PMO Representative</t>
  </si>
  <si>
    <t>Block 1 — Table of Contents</t>
  </si>
  <si>
    <t>#</t>
  </si>
  <si>
    <t>Sheet</t>
  </si>
  <si>
    <t>Dependencies, Constraints, Assumptions</t>
  </si>
  <si>
    <t>T4</t>
  </si>
  <si>
    <t>Track — Core AI Agent</t>
  </si>
  <si>
    <t>Block 2 — How to navigate</t>
  </si>
  <si>
    <t>Project Name</t>
  </si>
  <si>
    <t>Future — Planner MVP (with foundational Core Backend, Core Frontend, Core AI Agent slices)</t>
  </si>
  <si>
    <t>Project Type</t>
  </si>
  <si>
    <t>Methodology</t>
  </si>
  <si>
    <t>Agile Scrum · 2-week sprints</t>
  </si>
  <si>
    <t>Budget</t>
  </si>
  <si>
    <t>Solution</t>
  </si>
  <si>
    <t>This MVP also proves out four foundational Future modules — Core Backend, Core Frontend, Core AI Agent, and (contingent on Data Engineer onboarding) Core Data Platform — that every subsequent Future module will reuse.</t>
  </si>
  <si>
    <t>Component</t>
  </si>
  <si>
    <t>1</t>
  </si>
  <si>
    <t>2</t>
  </si>
  <si>
    <t>Core Backend</t>
  </si>
  <si>
    <t>3</t>
  </si>
  <si>
    <t>Core Frontend</t>
  </si>
  <si>
    <t>4</t>
  </si>
  <si>
    <t>Block 4 — SMART Objectives</t>
  </si>
  <si>
    <t>Objective</t>
  </si>
  <si>
    <t>Metric</t>
  </si>
  <si>
    <t>Target</t>
  </si>
  <si>
    <t>Timeline</t>
  </si>
  <si>
    <t>G1</t>
  </si>
  <si>
    <t>Reduce manager chase-up effort</t>
  </si>
  <si>
    <t>Pilot W4</t>
  </si>
  <si>
    <t>PM</t>
  </si>
  <si>
    <t>G2</t>
  </si>
  <si>
    <t>Establish authoritative record of commitments</t>
  </si>
  <si>
    <t>BA</t>
  </si>
  <si>
    <t>G3</t>
  </si>
  <si>
    <t>Give every hierarchy level a useful area overview</t>
  </si>
  <si>
    <t>G4</t>
  </si>
  <si>
    <t>Catch commitments previously lost</t>
  </si>
  <si>
    <t>BA + AI Eng</t>
  </si>
  <si>
    <t>G5</t>
  </si>
  <si>
    <t>Build foundational modules that extend cleanly</t>
  </si>
  <si>
    <t>W8 gate</t>
  </si>
  <si>
    <t>CTO</t>
  </si>
  <si>
    <t>G6</t>
  </si>
  <si>
    <t>Prove the AI-with-human-oversight pattern</t>
  </si>
  <si>
    <t>AI Eng</t>
  </si>
  <si>
    <t>G7</t>
  </si>
  <si>
    <t>Establish natural-language interaction as first-class</t>
  </si>
  <si>
    <t>Detail</t>
  </si>
  <si>
    <t>Charter ID</t>
  </si>
  <si>
    <t>FUTURE-PLANNER-MVP-2026-01</t>
  </si>
  <si>
    <t>Sign Date</t>
  </si>
  <si>
    <t>Sponsor</t>
  </si>
  <si>
    <t>Technical Sponsor</t>
  </si>
  <si>
    <t>Governance</t>
  </si>
  <si>
    <t>ID</t>
  </si>
  <si>
    <t>Milestone</t>
  </si>
  <si>
    <t>Planned</t>
  </si>
  <si>
    <t>Acceptance Criterion</t>
  </si>
  <si>
    <t>Status</t>
  </si>
  <si>
    <t>M00</t>
  </si>
  <si>
    <t>Kickoff</t>
  </si>
  <si>
    <t>5%</t>
  </si>
  <si>
    <t>M01</t>
  </si>
  <si>
    <t>10%</t>
  </si>
  <si>
    <t>M02</t>
  </si>
  <si>
    <t>AI Engineer</t>
  </si>
  <si>
    <t>15%</t>
  </si>
  <si>
    <t>M03</t>
  </si>
  <si>
    <t>M04</t>
  </si>
  <si>
    <t>MVP Pilot-ready</t>
  </si>
  <si>
    <t>M05</t>
  </si>
  <si>
    <t>M06</t>
  </si>
  <si>
    <t>Pilot-to-Wave gate</t>
  </si>
  <si>
    <t>Steering Committee</t>
  </si>
  <si>
    <t>M07</t>
  </si>
  <si>
    <t>Wave 1 rollout complete</t>
  </si>
  <si>
    <t>TBD (post W12 gate)</t>
  </si>
  <si>
    <t>IT + PMO</t>
  </si>
  <si>
    <t>No critical blocking issues; adoption metric maintained</t>
  </si>
  <si>
    <t>M08</t>
  </si>
  <si>
    <t>TBD</t>
  </si>
  <si>
    <t>Active-user count reached target; side-channel tracking stopped</t>
  </si>
  <si>
    <t>M09</t>
  </si>
  <si>
    <t>Post-rollout review</t>
  </si>
  <si>
    <t>PM + Steering Committee</t>
  </si>
  <si>
    <t>Item</t>
  </si>
  <si>
    <t>Note</t>
  </si>
  <si>
    <t>N/A</t>
  </si>
  <si>
    <t>Legal</t>
  </si>
  <si>
    <t>Internal project — all participants under existing SETA employment NDAs</t>
  </si>
  <si>
    <t>Pending W2</t>
  </si>
  <si>
    <t>PM + Legal</t>
  </si>
  <si>
    <t>Confirmed</t>
  </si>
  <si>
    <t>Pending W1</t>
  </si>
  <si>
    <t>5</t>
  </si>
  <si>
    <t>Audit-log retention policy</t>
  </si>
  <si>
    <t>Pending W4</t>
  </si>
  <si>
    <t>Indefinite retention per regulatory baseline; no audio stored; archival/pruning strategy locked before pilot</t>
  </si>
  <si>
    <t>Sheet: 03-Scope</t>
  </si>
  <si>
    <t>Decomposition convention</t>
  </si>
  <si>
    <t>Tracks split horizontal vs vertical:</t>
  </si>
  <si>
    <t>•  Horizontal tracks — Core Backend, Core Frontend, Core AI Agent. Monorepo scaffolding, shared auth, common components/utilities, routing, caching, base observability, permission primitives, LLM plumbing. No module-specific code. Built once; reused by every Future module.</t>
  </si>
  <si>
    <t>•  Vertical track — Planner. Integrates the three Core horizontal slices into a user-facing product. Every Planner feature has its own BE handlers, FE UI, and (where relevant) Agent-integration sub-work.</t>
  </si>
  <si>
    <t>The Planner WBS therefore contains Planner-BE rows, Planner-FE rows, and Planner-Agent-integration rows. The Core tracks contain only horizontal primitives.</t>
  </si>
  <si>
    <t>Block 1 — WBS-Master (feature-level rollup)</t>
  </si>
  <si>
    <t>Effort in MD (man-days). Confidence: H = well-understood, M = some novelty, L = material unknowns. Layer: BE / FE / AI / BE+FE / BE+AI / FE+AI indicates which technical layer(s) the feature spans. Sprint column targets S1–S4 (W1–W8).</t>
  </si>
  <si>
    <t>Ownership convention: Owner = FS#1 or Owner = FS#2 identifies a single full-stack dev who owns that feature end-to-end — BE + FE + any integration layer. There is no BE-vs-FE split between the two FS devs. Per-feature ownership is provisional in the Owner column and finalised at Kickoff. Owner = AI Eng identifies the AI Engineer as end-to-end owner (including the BE hooks needed to integrate). Non-builder rows (PM / PO / SM / BA / QA) carry the respective role name.</t>
  </si>
  <si>
    <t>Core Backend (horizontal)</t>
  </si>
  <si>
    <t>Module</t>
  </si>
  <si>
    <t>Function</t>
  </si>
  <si>
    <t>Feature</t>
  </si>
  <si>
    <t>Layer</t>
  </si>
  <si>
    <t>Effort Low</t>
  </si>
  <si>
    <t>Effort High</t>
  </si>
  <si>
    <t>Confidence</t>
  </si>
  <si>
    <t>Sprint</t>
  </si>
  <si>
    <t>Acceptance</t>
  </si>
  <si>
    <t>W-B01</t>
  </si>
  <si>
    <t>Monorepo</t>
  </si>
  <si>
    <t>Scaffolding</t>
  </si>
  <si>
    <t>Turborepo · bun workspaces · shared tsconfig / eslint / prettier / lefthook · workspace package template</t>
  </si>
  <si>
    <t>BE</t>
  </si>
  <si>
    <t>H</t>
  </si>
  <si>
    <t>FS#2</t>
  </si>
  <si>
    <t>S1</t>
  </si>
  <si>
    <t>turbo build green from clean clone; new workspace via turbo gen workspace; pre-commit runs lint + format + type-check</t>
  </si>
  <si>
    <t>W-B02</t>
  </si>
  <si>
    <t>DDD module template</t>
  </si>
  <si>
    <t>Hexagonal + DDD generator (domain / application / infrastructure / interface-trpc / module.ts) per project convention</t>
  </si>
  <si>
    <t>nest g resource produces compliant layout; module exports QueryFacade only; lint rule blocks cross-module domain/infra imports</t>
  </si>
  <si>
    <t>W-B03</t>
  </si>
  <si>
    <t>Auth</t>
  </si>
  <si>
    <t>Entra ID SSO primitive</t>
  </si>
  <si>
    <t>OAuth flow · session cookie · refresh · logout · tenant metadata</t>
  </si>
  <si>
    <t>Sign-in round-trip against test tenant; session cookie httpOnly + SameSite; logout revokes locally and at IdP</t>
  </si>
  <si>
    <t>W-B04</t>
  </si>
  <si>
    <t>Magic link primitive</t>
  </si>
  <si>
    <t>Token mint · deliver via email gateway · validate · single-use</t>
  </si>
  <si>
    <t>End-to-end magic-link flow tested; token TTL enforced; replay rejected</t>
  </si>
  <si>
    <t>W-B05</t>
  </si>
  <si>
    <t>Permissions</t>
  </si>
  <si>
    <t>Org-chart permissions engine</t>
  </si>
  <si>
    <t>rolegrant · rolepermission · delegation · effective-permission resolver · canDo() API</t>
  </si>
  <si>
    <t>8</t>
  </si>
  <si>
    <t>M</t>
  </si>
  <si>
    <t>S1–S2</t>
  </si>
  <si>
    <t>Role resolution respects direct + delegated + cross-hierarchy cases; unit tests cover every matrix cell</t>
  </si>
  <si>
    <t>W-B06</t>
  </si>
  <si>
    <t>tRPC permission middleware</t>
  </si>
  <si>
    <t>Guard annotations · P2 visibility helpers · cross-hierarchy raw-access audit hook</t>
  </si>
  <si>
    <t>S2</t>
  </si>
  <si>
    <t>Middleware denies with structured error; denial logged; P2 scope enforced in list endpoints</t>
  </si>
  <si>
    <t>W-B07</t>
  </si>
  <si>
    <t>Audit</t>
  </si>
  <si>
    <t>Audit log primitive</t>
  </si>
  <si>
    <t>Audit event schema · KernelAuditFacade · insert-only guarantees</t>
  </si>
  <si>
    <t>Every AI op, approval, export, admin action, opt-out, scope change, cross-hierarchy read logs an event; query by actor/subject/operation</t>
  </si>
  <si>
    <t>W-B08</t>
  </si>
  <si>
    <t>Infra</t>
  </si>
  <si>
    <t>RLS + tenant middleware</t>
  </si>
  <si>
    <t>app.tenant_id set per request · pool-client-per-request · Promise.all-on-DB lint rule</t>
  </si>
  <si>
    <t>Cross-tenant query denied at DB layer; lint rule blocks Promise.all on DB queries in handlers</t>
  </si>
  <si>
    <t>W-B09</t>
  </si>
  <si>
    <t>Events</t>
  </si>
  <si>
    <t>Outbox + polling relay</t>
  </si>
  <si>
    <t>outbox_event schema · relay worker · at-least-once delivery · dead-letter policy</t>
  </si>
  <si>
    <t>Events published transactionally with owning write; relay delivers to pg-boss at-least-once; DLQ visible</t>
  </si>
  <si>
    <t>W-B10</t>
  </si>
  <si>
    <t>Jobs</t>
  </si>
  <si>
    <t>pg-boss harness</t>
  </si>
  <si>
    <t>Worker scaffolding · retry / backoff · scheduled-job helpers · graceful shutdown</t>
  </si>
  <si>
    <t>Worker process runs jobs; retries on transient error; scheduler survives leader change</t>
  </si>
  <si>
    <t>W-B11</t>
  </si>
  <si>
    <t>Rate Limiting</t>
  </si>
  <si>
    <t>Rate limiter primitive</t>
  </si>
  <si>
    <t>Per-user + per-tenant limiter · storage in Redis or Postgres · bypass for admin</t>
  </si>
  <si>
    <t>429 returned at threshold; counters reset per window; admin override recorded</t>
  </si>
  <si>
    <t>W-B12</t>
  </si>
  <si>
    <t>Kill switch</t>
  </si>
  <si>
    <t>Kill-switch primitive</t>
  </si>
  <si>
    <t>Per-capability flags · admin toggle · cached with invalidation · surfaced in 05-Approach Block 11 AI differentiator surface</t>
  </si>
  <si>
    <t>Toggle disables route atomically; audit event recorded; deterministic paths keep operating</t>
  </si>
  <si>
    <t>W-B13</t>
  </si>
  <si>
    <t>Email</t>
  </si>
  <si>
    <t>Outbound email gateway</t>
  </si>
  <si>
    <t>SES (prod) + SMTP (dev) transport · template registry · per-tenant from-address · unsubscribe token</t>
  </si>
  <si>
    <t>Template-driven emails send; bounce captured back to user; rate limits respected</t>
  </si>
  <si>
    <t>W-B14</t>
  </si>
  <si>
    <t>MS Graph</t>
  </si>
  <si>
    <t>Graph adapter scaffolding</t>
  </si>
  <si>
    <t>Graph client wrapper · retry / backoff · rate-limit-aware batching · delta-query helper · subscription-renewal scheduler</t>
  </si>
  <si>
    <t>6</t>
  </si>
  <si>
    <t>Client handles 429 with backoff; subscription-renewal job runs ahead of expiry; delta queries batch</t>
  </si>
  <si>
    <t>W-B15</t>
  </si>
  <si>
    <t>Observability</t>
  </si>
  <si>
    <t>OTel + Langfuse bridge · CloudWatch logs</t>
  </si>
  <si>
    <t>OTel instrumentation · Langfuse span export · structured logging · request-id propagation</t>
  </si>
  <si>
    <t>Every tRPC call appears as span; trace IDs propagate across worker boundaries</t>
  </si>
  <si>
    <t>W-B16</t>
  </si>
  <si>
    <t>Commons</t>
  </si>
  <si>
    <t>Shared BE utilities</t>
  </si>
  <si>
    <t>Error types · serializers · ID generators · clock abstraction · zod schema helpers · request-scoped context</t>
  </si>
  <si>
    <t>Utilities unit-tested; clock injected for time-sensitive handlers; IDs deterministic in tests</t>
  </si>
  <si>
    <t>W-B17</t>
  </si>
  <si>
    <t>Admin module</t>
  </si>
  <si>
    <t>Tenant settings · system settings · module toggles · feature flags · IdP config storage · email transport config · AI config (per-capability enable / kill switches surfaced to Admin UI)</t>
  </si>
  <si>
    <t>Admin tRPC routes exposed; settings read/write round-trip; every change audited</t>
  </si>
  <si>
    <t>W-B18</t>
  </si>
  <si>
    <t>@future/mail</t>
  </si>
  <si>
    <t>Mail package boundary</t>
  </si>
  <si>
    <t>Transport abstraction (SES / SMTP) · template registry · template rendering (MJML or React Email) · unsubscribe token · bounce + complaint handler · suppression list</t>
  </si>
  <si>
    <t>Templates render cleanly in Gmail / Outlook / Apple Mail; bounce event suppresses future sends; unsubscribe honoured</t>
  </si>
  <si>
    <t>W-B19</t>
  </si>
  <si>
    <t>@future/storage</t>
  </si>
  <si>
    <t>Storage package</t>
  </si>
  <si>
    <t>S3 presigned-URL wrapper (upload + download) · mime-type guard · max-size guard · per-tenant prefix</t>
  </si>
  <si>
    <t>Upload + download round-trip; guards enforced; cross-tenant path access blocked by prefix</t>
  </si>
  <si>
    <t>W-B20</t>
  </si>
  <si>
    <t>@future/db</t>
  </si>
  <si>
    <t>DB package</t>
  </si>
  <si>
    <t>Drizzle migration runner · schema helpers · connection-pool wrapper · transaction helpers · repository base class</t>
  </si>
  <si>
    <t>Migrations run deterministically; repository base supports tenant-scoped queries by default</t>
  </si>
  <si>
    <t>W-B21</t>
  </si>
  <si>
    <t>@future/event-contracts</t>
  </si>
  <si>
    <t>Events package</t>
  </si>
  <si>
    <t>Plain-TypeScript event shapes across modules · zero NestJS deps · versioned contract per event</t>
  </si>
  <si>
    <t>Packages consuming events don't pull Nest runtime; version bumps are explicit CRs</t>
  </si>
  <si>
    <t>Core Frontend (horizontal)</t>
  </si>
  <si>
    <t>W-F01</t>
  </si>
  <si>
    <t>Multi-zone setup</t>
  </si>
  <si>
    <t>Next.js multi-zone (11 zones + shell) · routing conventions · zone proxy · shared Next config</t>
  </si>
  <si>
    <t>FE</t>
  </si>
  <si>
    <t>FS#1</t>
  </si>
  <si>
    <t>Every zone boots independently; cross-zone hard-link discipline via lint; shell owns SSO + magic link</t>
  </si>
  <si>
    <t>W-F02</t>
  </si>
  <si>
    <t>Design System</t>
  </si>
  <si>
    <t>Tokens + Tailwind</t>
  </si>
  <si>
    <t>Design tokens (color · type · spacing · radii · motion) · Tailwind v4 config · CSS variables · dark (default) + light</t>
  </si>
  <si>
    <t>Tokens drive every component; lint flags hardcoded colors; theme tokens validated</t>
  </si>
  <si>
    <t>W-F03</t>
  </si>
  <si>
    <t>UI Library</t>
  </si>
  <si>
    <t>@future/ui core set</t>
  </si>
  <si>
    <t>Storybook-documented; a11y audit clean; variants map to design tokens</t>
  </si>
  <si>
    <t>W-F04</t>
  </si>
  <si>
    <t>Layout</t>
  </si>
  <si>
    <t>@future/app-layout</t>
  </si>
  <si>
    <t>AppLayout · SidebarProvider · SidebarRenderer · NavbarRenderer · NavGroup static/dynamic · PermissionProvider</t>
  </si>
  <si>
    <t>7</t>
  </si>
  <si>
    <t>Zones mount AppLayout with their own navigation config; static vs dynamic NavGroup enforced (no dual-shape)</t>
  </si>
  <si>
    <t>W-F05</t>
  </si>
  <si>
    <t>Auth (FE)</t>
  </si>
  <si>
    <t>Session hydration</t>
  </si>
  <si>
    <t>httpOnly cookie read · session context · redirect-to-shell on 401 · token-aware tRPC client</t>
  </si>
  <si>
    <t>Unauth user bounced to shell; session context stable across route changes</t>
  </si>
  <si>
    <t>W-F06</t>
  </si>
  <si>
    <t>Permissions (FE)</t>
  </si>
  <si>
    <t>Permission-aware rendering</t>
  </si>
  <si>
    <t>useCanAccess hook · PermissionContext hydration from kernel.getMyPermissions · permission-filtered NavGroups</t>
  </si>
  <si>
    <t>Unauthorized nav items hidden; denied routes render 403 card</t>
  </si>
  <si>
    <t>W-F07</t>
  </si>
  <si>
    <t>Theming</t>
  </si>
  <si>
    <t>Theme toggle + next-themes</t>
  </si>
  <si>
    <t>Toggle component · next-themes integration · cookie persistence · system-preference default</t>
  </si>
  <si>
    <t>Toggle cycles light/dark/system without FOUC; persists across sessions</t>
  </si>
  <si>
    <t>W-F08</t>
  </si>
  <si>
    <t>Notifications (FE)</t>
  </si>
  <si>
    <t>In-app notifications popover</t>
  </si>
  <si>
    <t>Real popover · unread count · mark-as-read · SSE transport</t>
  </si>
  <si>
    <t>Live events surface in popover; click-to-read; popover respects viewport</t>
  </si>
  <si>
    <t>W-F09</t>
  </si>
  <si>
    <t>Data</t>
  </si>
  <si>
    <t>tRPC client + query cache</t>
  </si>
  <si>
    <t>Shared tRPC client typing across zones · React Query wrapper · cache keys convention · optimistic update helpers</t>
  </si>
  <si>
    <t>Any zone's tRPC client is typed end-to-end; optimistic mutation helpers documented</t>
  </si>
  <si>
    <t>W-F10</t>
  </si>
  <si>
    <t>SSE</t>
  </si>
  <si>
    <t>Streaming client primitive</t>
  </si>
  <si>
    <t>EventSource wrapper · auto-reconnect · auth header propagation · used by notifications + AI streaming</t>
  </si>
  <si>
    <t>Reconnects on drop; headers survive refresh; unit tested against mock server</t>
  </si>
  <si>
    <t>W-F11</t>
  </si>
  <si>
    <t>Zones</t>
  </si>
  <si>
    <t>Zone scaffolding generator</t>
  </si>
  <si>
    <t>turbo gen template producing layout · layout-client · navigation · proxy · minimal routes</t>
  </si>
  <si>
    <t>turbo gen workspace creates runnable zone matching pattern</t>
  </si>
  <si>
    <t>W-F12</t>
  </si>
  <si>
    <t>Responsive</t>
  </si>
  <si>
    <t>Responsive + mobile</t>
  </si>
  <si>
    <t>Sidebar collapse · responsive grid · viewport-aware dialogs/drawers · tablet + small-desktop breakpoints</t>
  </si>
  <si>
    <t>S3</t>
  </si>
  <si>
    <t>Mobile / tablet visual QA across zones; touch targets ≥44px</t>
  </si>
  <si>
    <t>W-F13</t>
  </si>
  <si>
    <t>QA</t>
  </si>
  <si>
    <t>Storybook + visual regression</t>
  </si>
  <si>
    <t>Storybook · visual regression baseline · axe a11y audit</t>
  </si>
  <si>
    <t>Storybook deployed to internal URL; visual-regression baseline green</t>
  </si>
  <si>
    <t>W-F14</t>
  </si>
  <si>
    <t>Shared FE utilities</t>
  </si>
  <si>
    <t>Date / time formatters · currency · permissions hook · toast abstraction · form helpers</t>
  </si>
  <si>
    <t>Utilities unit-tested; consumed by at least 2 zones</t>
  </si>
  <si>
    <t>W-F15</t>
  </si>
  <si>
    <t>Forms</t>
  </si>
  <si>
    <t>Form primitives</t>
  </si>
  <si>
    <t>Form · FormField · react-hook-form integration · zod schema resolver · error-state helpers · async-validation pattern</t>
  </si>
  <si>
    <t>Forms compose across zones; validation messages consistent; optimistic submit + rollback on error</t>
  </si>
  <si>
    <t>W-F16</t>
  </si>
  <si>
    <t>DateTime</t>
  </si>
  <si>
    <t>Calendar + DatePicker</t>
  </si>
  <si>
    <t>Calendar component · DatePicker · DateRangePicker · time-zone-aware formatting · keyboard a11y</t>
  </si>
  <si>
    <t>Planner Schedule view uses primitive; a11y audit clean; touch-friendly on tablet</t>
  </si>
  <si>
    <t>W-F17</t>
  </si>
  <si>
    <t>FileUpload</t>
  </si>
  <si>
    <t>File upload primitive</t>
  </si>
  <si>
    <t>Drag-drop zone · S3 presigned upload flow · progress bar · cancel · mime-type + size guards</t>
  </si>
  <si>
    <t>Uploads round-trip to S3; cancel aborts mid-upload; Planner evidence consumes this primitive</t>
  </si>
  <si>
    <t>W-F18</t>
  </si>
  <si>
    <t>Rich text</t>
  </si>
  <si>
    <t>Lightweight rich-text input</t>
  </si>
  <si>
    <t>Bold · italic · lists · links · markdown-serialised on submit; bounded by DESIGN.md</t>
  </si>
  <si>
    <t>Comments / evidence notes use primitive; serialised markdown round-trips; no XSS surface</t>
  </si>
  <si>
    <t>W-F19</t>
  </si>
  <si>
    <t>Charts</t>
  </si>
  <si>
    <t>@future/charts ECharts wrapper</t>
  </si>
  <si>
    <t>Typed wrapper over ECharts · common chart shapes (bar · line · donut) · themed from design tokens · snapshot-ready for server-rendered charts</t>
  </si>
  <si>
    <t>Planner Charts view consumes primitive; themes match dark + light; SSR snapshot for digest email works</t>
  </si>
  <si>
    <t>Core AI Agent (horizontal · Phase 1 W1–W4 · Phase 2 W5–W8)</t>
  </si>
  <si>
    <t>Phase</t>
  </si>
  <si>
    <t>W-A01</t>
  </si>
  <si>
    <t>LLM Client</t>
  </si>
  <si>
    <t>Provider wrapper</t>
  </si>
  <si>
    <t>Vercel AI SDK + OpenAI · model selector (gpt-5.4-nano classify, gpt-5.4 reason, text-embedding-3-small) · retry/backoff · token accounting</t>
  </si>
  <si>
    <t>AI</t>
  </si>
  <si>
    <t>Prompt round-trips; cost per call captured; provider swap is a one-file change</t>
  </si>
  <si>
    <t>W-A02</t>
  </si>
  <si>
    <t>Prompt Store</t>
  </si>
  <si>
    <t>Prompt management</t>
  </si>
  <si>
    <t>Versioned templates in DB · env override · test fixtures</t>
  </si>
  <si>
    <t>Prompt change is a migration; every LLM call references a version in its trace</t>
  </si>
  <si>
    <t>W-A03</t>
  </si>
  <si>
    <t>Scoring framework</t>
  </si>
  <si>
    <t>Derivation rules trace → H/M/L · exposure to HITL routing · drift harness</t>
  </si>
  <si>
    <t>L</t>
  </si>
  <si>
    <t>Confidence band on every proposal; baseline eval passes</t>
  </si>
  <si>
    <t>W-A04</t>
  </si>
  <si>
    <t>HITL</t>
  </si>
  <si>
    <t>Routing engine</t>
  </si>
  <si>
    <t>Routing matrix (proposal type → reviewer role) · fallback · review window · auto-expiry · backlog alert</t>
  </si>
  <si>
    <t>Routing tested against full role matrix; expiry hooks fire</t>
  </si>
  <si>
    <t>W-A05</t>
  </si>
  <si>
    <t>Tools</t>
  </si>
  <si>
    <t>Tool + MCP registry</t>
  </si>
  <si>
    <t>Bounded registry · introspection via tRPC meta · enable/disable per agent</t>
  </si>
  <si>
    <t>Registry enumerates tools; permissions enforced at registration</t>
  </si>
  <si>
    <t>W-A06</t>
  </si>
  <si>
    <t>ToolGateway pipeline</t>
  </si>
  <si>
    <t>10-step pipeline: auth · permission · taint · rate · budget · args-validate · execute · sanitize · log · trace</t>
  </si>
  <si>
    <t>Unauthorised tool call denied with audit; taint flows end-to-end; sanitisation drops disallowed fields</t>
  </si>
  <si>
    <t>W-A07</t>
  </si>
  <si>
    <t>Runner</t>
  </si>
  <si>
    <t>Sub-agent runner pattern</t>
  </si>
  <si>
    <t>Base runner · prompt rendering · tool-calling loop · max-steps · safety ceiling · SSE events</t>
  </si>
  <si>
    <t>Base runner executes a canned agent; loop terminates at max-steps; SSE contract stable</t>
  </si>
  <si>
    <t>W-A08</t>
  </si>
  <si>
    <t>Langfuse telemetry</t>
  </si>
  <si>
    <t>Span creation · OTel integration · cost tag · prompt-version tag · trace-sampling policy</t>
  </si>
  <si>
    <t>Every LLM + tool call appears in Langfuse; trace navigable end-to-end</t>
  </si>
  <si>
    <t>W-A09</t>
  </si>
  <si>
    <t>Streaming</t>
  </si>
  <si>
    <t>SSE contract</t>
  </si>
  <si>
    <t>Stream event types (token · tool-call · tool-result · finish · error) · backpressure · cancel token</t>
  </si>
  <si>
    <t>Stream events parse round-trip; cancel aborts upstream; backpressure handled</t>
  </si>
  <si>
    <t>W-A10</t>
  </si>
  <si>
    <t>Security</t>
  </si>
  <si>
    <t>Prompt-injection defence</t>
  </si>
  <si>
    <t>Tenant-authored-text redaction · delimiter strategy · injection regression suite</t>
  </si>
  <si>
    <t>Adversarial prompts trigger refusal; regression suite gates CI</t>
  </si>
  <si>
    <t>W-A11</t>
  </si>
  <si>
    <t>Permission enforcement at AI boundary</t>
  </si>
  <si>
    <t>Result-fetch permission check · structured-query permission audit · composition-derived disclosure guard</t>
  </si>
  <si>
    <t>Penetration test returns zero permission-leak incidents</t>
  </si>
  <si>
    <t>W-A12</t>
  </si>
  <si>
    <t>9</t>
  </si>
  <si>
    <t>S3–S4</t>
  </si>
  <si>
    <t>W-A13</t>
  </si>
  <si>
    <t>Cost</t>
  </si>
  <si>
    <t>Cost metering + budget + circuit breaker</t>
  </si>
  <si>
    <t>Per-user + per-tenant meter · budget service · circuit-breaker on breach · admin budget dashboard</t>
  </si>
  <si>
    <t>S4</t>
  </si>
  <si>
    <t>Per-tenant daily budget blocks excess; breaker short-circuits on breach; dashboard surfaces remaining budget</t>
  </si>
  <si>
    <t>W-A14</t>
  </si>
  <si>
    <t>Quality</t>
  </si>
  <si>
    <t>Planner (vertical · integrates all three Core horizontal slices)</t>
  </si>
  <si>
    <t>Every feature shows which layer(s) it spans. Most Planner rows are BE+FE; transcript + HITL + conversational features are BE+FE+AI.</t>
  </si>
  <si>
    <t>W-P01</t>
  </si>
  <si>
    <t>Action</t>
  </si>
  <si>
    <t>Domain model</t>
  </si>
  <si>
    <t>Action aggregate · status lifecycle (Open → InProgress → Done → Blocked; Cancelled) · priority · stakes · project tag · deadline · owner · delegator · visibility scope · source</t>
  </si>
  <si>
    <t>Aggregate invariants tested; state transitions exhaustively covered</t>
  </si>
  <si>
    <t>W-P02</t>
  </si>
  <si>
    <t>CRUD handlers + tRPC</t>
  </si>
  <si>
    <t>Create · update · delete · list · filter · paginate</t>
  </si>
  <si>
    <t>tRPC contract exercised by integration tests; permission-filtered lists verified</t>
  </si>
  <si>
    <t>W-P03</t>
  </si>
  <si>
    <t>UI</t>
  </si>
  <si>
    <t>Action create / edit / view modal or drawer; unified UX for manual, AI-proposed, MS-Planner-synced actions</t>
  </si>
  <si>
    <t>UI indistinguishable across action sources; autosave on edit; keyboard a11y</t>
  </si>
  <si>
    <t>W-P04</t>
  </si>
  <si>
    <t>Evidence + attachments</t>
  </si>
  <si>
    <t>Evidence CRUD (note + files + links) · S3 presigned upload · required when stakes=high and status=Done</t>
  </si>
  <si>
    <t>BE+FE</t>
  </si>
  <si>
    <t>Upload round-trips to S3; stakes=high gate enforced</t>
  </si>
  <si>
    <t>W-P05</t>
  </si>
  <si>
    <t>Comments</t>
  </si>
  <si>
    <t>Comment thread on action · mention suggestions · email-out on new comment</t>
  </si>
  <si>
    <t>Thread renders; mention triggers notification; delete requires audit</t>
  </si>
  <si>
    <t>W-P06</t>
  </si>
  <si>
    <t>Plan</t>
  </si>
  <si>
    <t>Plan / Project CRUD</t>
  </si>
  <si>
    <t>Plan create · member management · label management · bucket management · ordering</t>
  </si>
  <si>
    <t>Plan CRUD exercised; membership changes audited</t>
  </si>
  <si>
    <t>W-P07</t>
  </si>
  <si>
    <t>Views</t>
  </si>
  <si>
    <t>Board view (drag-drop across buckets + status) · Grid view (inline editing) · Schedule view (week/month) · Charts view (progress donut, priority bar, bucket bar, workload by assignee)</t>
  </si>
  <si>
    <t>10</t>
  </si>
  <si>
    <t>Each view passes visual QA; filters persist in URL; group-by switch without reload</t>
  </si>
  <si>
    <t>W-P08</t>
  </si>
  <si>
    <t>Personal</t>
  </si>
  <si>
    <t>Personal Hubs</t>
  </si>
  <si>
    <t>My Plans · My Tasks · My Day with carry-over; personal dashboard (open · overdue · completed · waiting-on)</t>
  </si>
  <si>
    <t>Carry-over suggests yesterday unfinished; dashboard counts match filters</t>
  </si>
  <si>
    <t>W-P09</t>
  </si>
  <si>
    <t>Meetings</t>
  </si>
  <si>
    <t>Meetings list + detail</t>
  </si>
  <si>
    <t>List of user's attended / organised meetings · detail page with transcript view and linked actions</t>
  </si>
  <si>
    <t>List scoped to attendance / organising; detail page links actions; transcript visibility follows attendance policy</t>
  </si>
  <si>
    <t>W-P10</t>
  </si>
  <si>
    <t>On-demand extraction</t>
  </si>
  <si>
    <t>"Extract actions with AI" button · rate-limited (default 10/hour) · surfaces proposals to HITL queue</t>
  </si>
  <si>
    <t>BE+FE+AI</t>
  </si>
  <si>
    <t>Button triggers Agent ingestion job; rate-limit enforced; proposals appear in queue</t>
  </si>
  <si>
    <t>W-P11</t>
  </si>
  <si>
    <t>Agent Integration</t>
  </si>
  <si>
    <t>Transcript webhook handler</t>
  </si>
  <si>
    <t>MS Graph change-notification subscription for transcripts · webhook validation · metadata capture · ingestion job trigger</t>
  </si>
  <si>
    <t>Subscription renewed ahead of expiry; webhook validates MS challenge; ingestion job receives meeting + transcript</t>
  </si>
  <si>
    <t>W-P12</t>
  </si>
  <si>
    <t>Planner-domain sub-agent</t>
  </si>
  <si>
    <t>Domain sub-agent using Core AI runner · read-only tool set (list meetings, list actions, fetch transcript excerpt, create proposal) · extraction prompt · confidence-scored output</t>
  </si>
  <si>
    <t>BE+AI</t>
  </si>
  <si>
    <t>Sub-agent ingests transcript and emits proposal matching HITL schema; trace visible in Langfuse</t>
  </si>
  <si>
    <t>W-P13</t>
  </si>
  <si>
    <t>Proposal domain model</t>
  </si>
  <si>
    <t>Proposal aggregate (proposed op · AI reasoning · transcript excerpt · confidence · status · expiry · routed-to) · per-capability audit</t>
  </si>
  <si>
    <t>Aggregate covers all proposal types; expiry job auto-cancels</t>
  </si>
  <si>
    <t>W-P14</t>
  </si>
  <si>
    <t>Review queue UI</t>
  </si>
  <si>
    <t>Proposals list · detail · accept / edit-and-accept / reject · unassigned-owner assignment · bulk-reject</t>
  </si>
  <si>
    <t>End-to-end flow round-trips to Agent; routing matrix displayed per proposal</t>
  </si>
  <si>
    <t>W-P15</t>
  </si>
  <si>
    <t>Routing integration</t>
  </si>
  <si>
    <t>Wire Planner proposals into Core AI HITL routing engine · fallback to meeting organiser · Admin backlog alerts</t>
  </si>
  <si>
    <t>Routing matches BRD role matrix; 7-day auto-expiry; backlog notification fires</t>
  </si>
  <si>
    <t>W-P16</t>
  </si>
  <si>
    <t>Autonomous reminders</t>
  </si>
  <si>
    <t>Deterministic 3-day / 1-day / overdue reminder emails to action owner · per-capability kill-switch aware</t>
  </si>
  <si>
    <t>Reminder scheduler fires on schedule; kill-switch stops reminders without removing job</t>
  </si>
  <si>
    <t>W-P17</t>
  </si>
  <si>
    <t>Escalation engine</t>
  </si>
  <si>
    <t>AI-drafted escalation emails · HITL approval before send · route to line manager · suppresses reminder noise</t>
  </si>
  <si>
    <t>Escalation drafted; reviewer approves; line manager receives exactly one message</t>
  </si>
  <si>
    <t>W-P18</t>
  </si>
  <si>
    <t>Anomaly detection + auto-pause</t>
  </si>
  <si>
    <t>Threshold-based anomaly detector · auto-pause on trip · admin resume only</t>
  </si>
  <si>
    <t>Anomaly threshold trips pause; admin resume restores; audit trail complete</t>
  </si>
  <si>
    <t>W-P19</t>
  </si>
  <si>
    <t>MS Sync</t>
  </si>
  <si>
    <t>Microsoft Planner bidirectional sync</t>
  </si>
  <si>
    <t>Admin OAuth · plan discovery · Future→MS push · MS→Future polling · eTag conflict detection · last-write-wins on title/status/deadline · scope limited to Admin-designated plans</t>
  </si>
  <si>
    <t>14</t>
  </si>
  <si>
    <t>Round-trip latency ≤5 min; deletion marks Cancelled; 429 backoff respects headers</t>
  </si>
  <si>
    <t>W-P20</t>
  </si>
  <si>
    <t>Aggregated Views</t>
  </si>
  <si>
    <t>Team + Manager views</t>
  </si>
  <si>
    <t>Team health · Manager drill-down enforcing P2 · completion trend (4 weeks) · overdue-per-owner bar · line-manager + tech-lead variants</t>
  </si>
  <si>
    <t>Drill-down respects reporting chain; no cross-hierarchy bypass; charts from live data</t>
  </si>
  <si>
    <t>W-P21</t>
  </si>
  <si>
    <t>PMO + Account Manager views</t>
  </si>
  <si>
    <t>PMO cross-portfolio (overdue rate by project / team / account; 12-week completion trend) · Account Mgr per-account view</t>
  </si>
  <si>
    <t>PMO sees portfolio; Account Mgr sees per-account exposure; transcript access gated by attendance</t>
  </si>
  <si>
    <t>W-P22</t>
  </si>
  <si>
    <t>Executive Digest</t>
  </si>
  <si>
    <t>Weekly email</t>
  </si>
  <si>
    <t>Monday-morning email: 5 numbers + 3 lists · 60-second phone-first readability · scheduler job · template · dry-run to sponsor</t>
  </si>
  <si>
    <t>Dry-run lands before pilot; phone render verified; unsubscribe respected</t>
  </si>
  <si>
    <t>W-P23</t>
  </si>
  <si>
    <t>Admin Console</t>
  </si>
  <si>
    <t>Scope + role + kill config</t>
  </si>
  <si>
    <t>Auto-capture scope config · role assignment · per-capability kill switches · rate-limit config · anomaly thresholds · proposal-expiry window</t>
  </si>
  <si>
    <t>Admin toggles reflect in agent within 60s; scope change audited</t>
  </si>
  <si>
    <t>W-P24</t>
  </si>
  <si>
    <t>HITL queue backlog + audit view</t>
  </si>
  <si>
    <t>System health: queue depth · proposals nearing expiry · agent status · capture scope summary · cross-hierarchy raw-access log</t>
  </si>
  <si>
    <t>Dashboard reflects live data; cross-hierarchy access queryable with reason</t>
  </si>
  <si>
    <t>W-P25</t>
  </si>
  <si>
    <t>Conversational AI</t>
  </si>
  <si>
    <t>Query UI</t>
  </si>
  <si>
    <t>Natural-language input · structured-query preview · result render (conversation + filtered view) · rate-limit surface · session-scoped history</t>
  </si>
  <si>
    <t>Query preview shown before execute; rate-limit enforced; session history not persisted across sessions</t>
  </si>
  <si>
    <t>W-P26</t>
  </si>
  <si>
    <t>Planner query executor</t>
  </si>
  <si>
    <t>Safe query generation from structured intent · permission enforcement at result-fetch · scope restricted to actions + meetings</t>
  </si>
  <si>
    <t>Adversarial queries return permission-denied correctly; result count matches UI lists</t>
  </si>
  <si>
    <t>W-P27</t>
  </si>
  <si>
    <t>Prompt tuning + eval</t>
  </si>
  <si>
    <t>Planner-specific eval dataset (30 queries across roles) · first-attempt correctness ≥80% gate</t>
  </si>
  <si>
    <t>Eval gate green on baseline set; drift monitored via Langfuse</t>
  </si>
  <si>
    <t>W-P28</t>
  </si>
  <si>
    <t>Notifications</t>
  </si>
  <si>
    <t>Lifecycle notifications</t>
  </si>
  <si>
    <t>Email + in-app for assignment · completion · comment · overdue · escalation-approved</t>
  </si>
  <si>
    <t>Each event triggers exactly one recipient-scoped notification; in-app popover shows unread</t>
  </si>
  <si>
    <t>W-P29</t>
  </si>
  <si>
    <t>Data retention</t>
  </si>
  <si>
    <t>Admin deletion + export</t>
  </si>
  <si>
    <t>Admin-initiated action / transcript / evidence deletion · deletion logged with reason · export-on-request hook</t>
  </si>
  <si>
    <t>Deletion removes rows and logs; export endpoint returns tenant-scoped archive</t>
  </si>
  <si>
    <t>W-P30</t>
  </si>
  <si>
    <t>Pilot readiness</t>
  </si>
  <si>
    <t>Pilot measurement instruments</t>
  </si>
  <si>
    <t>Time-diary template · baseline + week-4 interview scripts · conversational-query review rubric · BA capture ground-truth guide</t>
  </si>
  <si>
    <t>—</t>
  </si>
  <si>
    <t>Instruments ready by pilot Day 1; reviewed with PM and BA</t>
  </si>
  <si>
    <t>Cross-cutting workstreams (non-build, recurring)</t>
  </si>
  <si>
    <t>Not code deliverables but required for delivery. Owned by the non-builder roles (PM, PO, SM, BA, QA). Effort shown as range × 8 build weeks + 4 pilot weeks.</t>
  </si>
  <si>
    <t>Workstream</t>
  </si>
  <si>
    <t>W-PM01</t>
  </si>
  <si>
    <t>Project governance</t>
  </si>
  <si>
    <t>Project Plan authoring + Kickoff pack + track-lead confirmation + Open Question closure</t>
  </si>
  <si>
    <t>Workbook signed by Sponsor at M00; track leads named in 06-Resources</t>
  </si>
  <si>
    <t>W-PM02</t>
  </si>
  <si>
    <t>Delivery tracking</t>
  </si>
  <si>
    <t>Weekly status report · milestone + risk updates on this workbook · sprint review demo coordination</t>
  </si>
  <si>
    <t>3 / week × 8</t>
  </si>
  <si>
    <t>All</t>
  </si>
  <si>
    <t>Report delivered each Friday; RAG status matches WBS state</t>
  </si>
  <si>
    <t>W-PM03</t>
  </si>
  <si>
    <t>Scope + CR management</t>
  </si>
  <si>
    <t>CR intake, impact analysis, rebaseline updates · scope veto</t>
  </si>
  <si>
    <t>0.5</t>
  </si>
  <si>
    <t>1 / week × 8</t>
  </si>
  <si>
    <t>Every scope change has a CR row on 03-Scope Block 5</t>
  </si>
  <si>
    <t>W-PM04</t>
  </si>
  <si>
    <t>Stakeholder communication</t>
  </si>
  <si>
    <t>Sponsor sync · BOD weekly sync · Steering Committee preparation</t>
  </si>
  <si>
    <t>2 / week × 12</t>
  </si>
  <si>
    <t>All + Pilot</t>
  </si>
  <si>
    <t>Meetings held on cadence; decisions captured</t>
  </si>
  <si>
    <t>W-PM05</t>
  </si>
  <si>
    <t>Pilot launch + rollout comms</t>
  </si>
  <si>
    <t>Pilot comms pack · launch note · post-pilot decision memo · wave rollout playbook</t>
  </si>
  <si>
    <t>Pilot + Wave</t>
  </si>
  <si>
    <t>Pilot comms pack approved by Sponsor pre-M04</t>
  </si>
  <si>
    <t>W-PO01</t>
  </si>
  <si>
    <t>PO</t>
  </si>
  <si>
    <t>Product ownership (dual-hatted Sponsor)</t>
  </si>
  <si>
    <t>Refinement representation · story acceptance at sprint review · Definition of Success sign-off</t>
  </si>
  <si>
    <t>3 / sprint × 4</t>
  </si>
  <si>
    <t>PO (Hung Vu)</t>
  </si>
  <si>
    <t>Every story accepted or rejected at sprint review; DoS quadrants signed off</t>
  </si>
  <si>
    <t>W-SM01</t>
  </si>
  <si>
    <t>SM</t>
  </si>
  <si>
    <t>Ceremonies</t>
  </si>
  <si>
    <t>Daily stand-up · sprint planning · sprint review · retro facilitation · impediment log</t>
  </si>
  <si>
    <t>2 / day × 40</t>
  </si>
  <si>
    <t>Ceremonies held to time; impediments closed or escalated within SLA</t>
  </si>
  <si>
    <t>W-SM02</t>
  </si>
  <si>
    <t>Velocity + burn-down</t>
  </si>
  <si>
    <t>Velocity tracking · burn-down chart · sprint health signal</t>
  </si>
  <si>
    <t>1 / sprint × 4</t>
  </si>
  <si>
    <t>Velocity chart populated on 05-Approach Block 7 at every sprint end</t>
  </si>
  <si>
    <t>W-BA01</t>
  </si>
  <si>
    <t>BA (MVP)</t>
  </si>
  <si>
    <t>Requirements + stories</t>
  </si>
  <si>
    <t>User-story refinement · acceptance-criteria drafting with PM + PO · requirement traceability into acceptance criteria of each WBS row</t>
  </si>
  <si>
    <t>Every WBS W-P* row has a corresponding story with AC and measurable output; DoR met before sprint planning</t>
  </si>
  <si>
    <t>W-BA02</t>
  </si>
  <si>
    <t>UAT + pilot rehearsal</t>
  </si>
  <si>
    <t>UAT scripts · pilot rehearsal scripts · ground-truth corpus plan</t>
  </si>
  <si>
    <t>UAT scripts executable against staging build; rehearsal passes pre-M04</t>
  </si>
  <si>
    <t>W-BA03</t>
  </si>
  <si>
    <t>Time-diary template · interview scripts (IC · TL · PM · AM · LM · PMO · Exec) · conversational-query review rubric · ground-truth extraction guide</t>
  </si>
  <si>
    <t>Instruments ready by pilot Day 1; reviewed with PM</t>
  </si>
  <si>
    <t>W-BA04</t>
  </si>
  <si>
    <t>Pilot execution</t>
  </si>
  <si>
    <t>Baseline time-diary week · week-4 interviews (15-20 users) · ground-truth extraction on ~12-20 sampled meetings (G4) · synthesis</t>
  </si>
  <si>
    <t>15</t>
  </si>
  <si>
    <t>BA + Pilot Team Lead</t>
  </si>
  <si>
    <t>Pilot W1-W4</t>
  </si>
  <si>
    <t>Interview outputs synthesised · G1–G7 outcome values computed · kill-criteria inputs on 09-ExecSupport</t>
  </si>
  <si>
    <t>W-BA05</t>
  </si>
  <si>
    <t>BA (legacy)</t>
  </si>
  <si>
    <t>Legacy systems discovery</t>
  </si>
  <si>
    <t>Stakeholder mapping · weekly interviews per legacy system (EMS · Timesheet · Hiring · Resource Insight) · per-system requirement briefs feeding future Future modules</t>
  </si>
  <si>
    <t>4 / week × 12</t>
  </si>
  <si>
    <t>Per-legacy-system requirement brief authored and shared with future-module owners</t>
  </si>
  <si>
    <t>W-QA01</t>
  </si>
  <si>
    <t>Test strategy + plan</t>
  </si>
  <si>
    <t>Test plan for Planner MVP · test data fixtures · environment setup · exit-criteria gating</t>
  </si>
  <si>
    <t>Test plan reviewed with Tech Lead · fixtures load in staging</t>
  </si>
  <si>
    <t>W-QA02</t>
  </si>
  <si>
    <t>Automated suite</t>
  </si>
  <si>
    <t>E2E Playwright critical flows · integration suite orchestration · visual regression baseline</t>
  </si>
  <si>
    <t>S2–S3</t>
  </si>
  <si>
    <t>Critical flows pass in CI · baseline images approved</t>
  </si>
  <si>
    <t>W-QA03</t>
  </si>
  <si>
    <t>Adversarial / security</t>
  </si>
  <si>
    <t>Adversarial prompt suite for Core AI Phase 2 · penetration-style test for conversational AI (REQ-22g) · security scan gating</t>
  </si>
  <si>
    <t>QA + AI Eng</t>
  </si>
  <si>
    <t>Zero permission-leak incidents pre-M04; scan clean</t>
  </si>
  <si>
    <t>W-QA04</t>
  </si>
  <si>
    <t>Performance</t>
  </si>
  <si>
    <t>Load test on hot endpoints · Graph API rate-limit simulation · sync-latency budget</t>
  </si>
  <si>
    <t>QA + SRE</t>
  </si>
  <si>
    <t>Targets met pre-M04 · SLO dashboards live</t>
  </si>
  <si>
    <t>W-QA05</t>
  </si>
  <si>
    <t>Defect management</t>
  </si>
  <si>
    <t>Defect intake · triage · closure tracking · leakage-rate metric</t>
  </si>
  <si>
    <t>Defect leakage &lt; 5% at pre-pilot gate</t>
  </si>
  <si>
    <t>W-QA06</t>
  </si>
  <si>
    <t>Pre-pilot rehearsal</t>
  </si>
  <si>
    <t>Rehearsal execution · exit-criteria sign-off · pilot go/no-go recommendation</t>
  </si>
  <si>
    <t>QA + BA + PM</t>
  </si>
  <si>
    <t>≥95% rehearsal pass; PM go/no-go documented</t>
  </si>
  <si>
    <t>W-OP01</t>
  </si>
  <si>
    <t>DevOps</t>
  </si>
  <si>
    <t>Infrastructure as code</t>
  </si>
  <si>
    <t>Terraform modules for AWS (VPC · ECS · ECR · RDS · ALB · CloudFront · WAF · Secrets Manager) · dev + single pilot-staging env only — no production env in this MVP</t>
  </si>
  <si>
    <t>DevOps + FS#2</t>
  </si>
  <si>
    <t>terraform plan clean on both envs; dev + staging stood up end of S1; staging is the pilot-running env</t>
  </si>
  <si>
    <t>W-OP02</t>
  </si>
  <si>
    <t>CI pipeline</t>
  </si>
  <si>
    <t>GitHub Actions · Turborepo remote cache · lint · unit · integration (testcontainers) · build ARM64 image · SAST · SBOM · Cosign sign · push to ECR</t>
  </si>
  <si>
    <t>PR-to-merge full pipeline runs in &lt; 15 min; ARM64 image published on main</t>
  </si>
  <si>
    <t>W-OP03</t>
  </si>
  <si>
    <t>CD pipeline</t>
  </si>
  <si>
    <t>Staging deploy on main merge · ECS rolling deploy · auto-rollback on health-check failure. No production deploy in this MVP — pilot runs on staging.</t>
  </si>
  <si>
    <t>Staging deploys on every merge; rollback proven via a canary-failure drill on staging</t>
  </si>
  <si>
    <t>W-OP04</t>
  </si>
  <si>
    <t>Monitoring &amp; alerting</t>
  </si>
  <si>
    <t>SLO dashboards (CloudWatch + Langfuse) · Sentry for FE · alert routes (Slack + email) · on-call rotation for pilot window</t>
  </si>
  <si>
    <t>DevOps + SRE</t>
  </si>
  <si>
    <t>Dashboards live; alerts fire on synthetic error; on-call rotation published</t>
  </si>
  <si>
    <t>W-OP05</t>
  </si>
  <si>
    <t>Release runbook</t>
  </si>
  <si>
    <t>Runbook · rollback procedure · smoke-test script · DB migration order · feature-flag cutover playbook</t>
  </si>
  <si>
    <t>DevOps + PM</t>
  </si>
  <si>
    <t>Runbook exercised end-to-end in pilot rehearsal; rollback drill timed under 15 min</t>
  </si>
  <si>
    <t>W-OP06</t>
  </si>
  <si>
    <t>Secrets + config</t>
  </si>
  <si>
    <t>AWS Secrets Manager provisioning · OpenAI key · MS Graph app credentials · SES credentials · Langfuse keys · rotation policy</t>
  </si>
  <si>
    <t>DevOps + IT</t>
  </si>
  <si>
    <t>All secrets loaded from Secrets Manager; no plaintext in env files or repo</t>
  </si>
  <si>
    <t>W-OP07</t>
  </si>
  <si>
    <t>Performance + load prep</t>
  </si>
  <si>
    <t>Load-test harness (k6) · connection-pool sizing per env · RDS instance right-sizing pre-pilot</t>
  </si>
  <si>
    <t>DevOps + SRE + QA</t>
  </si>
  <si>
    <t>Load tests pass at 2× expected pilot concurrency; RDS headroom ≥30%</t>
  </si>
  <si>
    <t>W-OP08</t>
  </si>
  <si>
    <t>Post-deploy verification</t>
  </si>
  <si>
    <t>Automated smoke tests on staging after each deploy · health-check endpoints · synthetic user journey run hourly during pilot</t>
  </si>
  <si>
    <t>DevOps + QA</t>
  </si>
  <si>
    <t>Smoke tests run automatically post-deploy on staging; synthetic journey green for 2 hours before pilot start</t>
  </si>
  <si>
    <t>Rollup totals (indicative)</t>
  </si>
  <si>
    <t>•  Core BE (W-B01..W-B21): ~51–82 MD · average ~67 MD</t>
  </si>
  <si>
    <t>•  Core FE (W-F01..W-F19): ~47–81 MD · average ~64 MD</t>
  </si>
  <si>
    <t>•  Core AI (W-A01..W-A14): ~48–80 MD · average ~64 MD</t>
  </si>
  <si>
    <t>•  Planner (W-P01..W-P30): ~113–191 MD · average ~152 MD</t>
  </si>
  <si>
    <t>•  Grand total: ~259–434 MD · midpoint ~348 MD</t>
  </si>
  <si>
    <t>Capacity check</t>
  </si>
  <si>
    <t>Available builder-MD over the 8-week build window, after deducting ~3 VN holiday days in Sprint 1:</t>
  </si>
  <si>
    <t>•  Push Admin console, MS Planner sync, Phase 2 Core AI security-plus-router features to post-pilot (after W8, during wave phase).</t>
  </si>
  <si>
    <t>•  Reduce Planner aggregated views to Team + PMO only (drop Account Manager + Line Manager differentiation until post-pilot).</t>
  </si>
  <si>
    <t>•  Scope the conversational AI to pre-built query cards only for MVP; free-form router lands in Phase 2 but is not gated on W8.</t>
  </si>
  <si>
    <t>•  Data Engineer onboarding pulls Aggregated Views infrastructure work off FS#2's plate.</t>
  </si>
  <si>
    <t>Block 2 — In Scope</t>
  </si>
  <si>
    <t>•  Microsoft 365 SSO login via Entra ID (Core BE + Core FE handshake).</t>
  </si>
  <si>
    <t>•  Manual action CRUD with full lifecycle, priority, stakes, project tag, deadline, owner; shared data model for AI-proposed and MS-Planner-synced actions (unified UX).</t>
  </si>
  <si>
    <t>•  Personal action list, personal dashboard, My Day / My Tasks / My Plans hubs.</t>
  </si>
  <si>
    <t>•  Plan / project CRUD, membership, labels, buckets.</t>
  </si>
  <si>
    <t>•  Action views: Board, Grid, Schedule, Charts (pre-built chart set per BRD §6.1.8).</t>
  </si>
  <si>
    <t>•  Evidence, attachments, comments on actions.</t>
  </si>
  <si>
    <t>•  Meetings page: list of user's attended / organised meetings, transcript viewer, linked actions, on-demand AI extraction (rate-limited).</t>
  </si>
  <si>
    <t>•  HITL review queue with accept / edit-and-accept / reject and unassigned-owner routing.</t>
  </si>
  <si>
    <t>•  Aggregated views: Team health, Manager drill-down, Account Manager, PMO portfolio, Admin system health.</t>
  </si>
  <si>
    <t>•  Executive weekly digest email.</t>
  </si>
  <si>
    <t>•  Microsoft Planner bidirectional sync on title / status / deadline for Admin-designated plans.</t>
  </si>
  <si>
    <t>•  Conversational AI query interface — read-only, session-scoped, permission-enforced.</t>
  </si>
  <si>
    <t>•  Admin console: scope config, role assignment, kill switches, rate limits, anomaly thresholds, proposal expiry, backlog view, audit-log view.</t>
  </si>
  <si>
    <t>•  Notifications: email + in-app for lifecycle events; deterministic 3-day / 1-day / overdue reminders.</t>
  </si>
  <si>
    <t>•  Agent behaviours: auto-capture within configured scope, AI extraction to HITL proposals, proposal expiry, anomaly detection with auto-pause, kill-switch surface.</t>
  </si>
  <si>
    <t>•  Core Backend: monorepo scaffolding, Entra ID SSO primitive, magic-link primitive, org-chart permissions engine, audit log, RLS, outbox + relay, pg-boss, MS Graph adapter scaffolding, outbound email gateway, observability, rate limiter + kill switches, shared BE commons.</t>
  </si>
  <si>
    <t>•  Core Frontend: Next.js multi-zone, design system tokens + Tailwind, @future/ui, @future/app-layout, theme toggle, notifications popover, responsive layouts, zone scaffolding generator, shared tRPC client + React Query, SSE client primitive, Storybook + visual regression, shared FE commons.</t>
  </si>
  <si>
    <t>•  Core AI Agent Phase 1: LLM client, prompt store, confidence scoring, HITL routing engine, tool/MCP registry + ToolGateway, sub-agent runner, SSE contract, Langfuse telemetry.</t>
  </si>
  <si>
    <t>•  Core AI Agent Phase 2: prompt-injection defence, permission enforcement at AI boundary, free-form query router, cost metering + budget + circuit breaker, prompt tuning + eval CI.</t>
  </si>
  <si>
    <t>Block 3 — Out of Scope</t>
  </si>
  <si>
    <t>•  Custom chart builder, user-selected metrics / dimensions, AI-generated charts from natural language. Pre-built chart set only in this MVP. Analysis module delivers these later.</t>
  </si>
  <si>
    <t>•  Write operations via conversational interface (query-only for this release).</t>
  </si>
  <si>
    <t>•  Mobile-native application (desktop web only; responsive where feasible).</t>
  </si>
  <si>
    <t>•  Vietnamese language UI (English only for this release).</t>
  </si>
  <si>
    <t>•  Inbound email parsing (actions@seta-international.vn mailbox).</t>
  </si>
  <si>
    <t>•  Capture from non-Teams meetings (hallway, phone, in-person).</t>
  </si>
  <si>
    <t>•  Integration with Microsoft Lists, Loop, Power Automate.</t>
  </si>
  <si>
    <t>•  External BI integration (Power BI, Tableau).</t>
  </si>
  <si>
    <t>•  Direct audio recording or transcription (Agent consumes text transcripts only).</t>
  </si>
  <si>
    <t>•  Transcript editing by users (Microsoft Teams remains the source of truth).</t>
  </si>
  <si>
    <t>•  Fully autonomous AI (tiered HITL is architectural, not a temporary constraint).</t>
  </si>
  <si>
    <t>•  Commercialisation or multi-tenant SaaS packaging.</t>
  </si>
  <si>
    <t>•  Formal uptime SLA with credits.</t>
  </si>
  <si>
    <t>•  Features added via CR post-kickoff (tracked separately in Block 5 of this sheet).</t>
  </si>
  <si>
    <t>•  Production environment. Only a single pilot-staging env is provisioned in this MVP; the pilot itself runs on staging. Production environment (with scaling, DR, backup windows, blue-green deploys) is a post-pilot scope item before Wave 1 rollout.</t>
  </si>
  <si>
    <t>Block 4 — Change Request (CR) Process</t>
  </si>
  <si>
    <t>•  Submit CR. Requester completes CR form; assigned CR ID.</t>
  </si>
  <si>
    <t>•  Impact Analysis. Track lead + PM assess scope / time / cost / risk.</t>
  </si>
  <si>
    <t>•  Approval. CCB (Sponsor + PMO + CTO) or PM (under veto authority) approves.</t>
  </si>
  <si>
    <t>•  Re-baseline. WBS, timeline, acceptance weights updated on this workbook.</t>
  </si>
  <si>
    <t>•  Execute. Work performed; CR row status updated until closed.</t>
  </si>
  <si>
    <t>Rule: No CR = No work. Every change must be traceable (ID, owner, date, decision).</t>
  </si>
  <si>
    <t>Block 5 — CR Log</t>
  </si>
  <si>
    <t>CR ID</t>
  </si>
  <si>
    <t>Description</t>
  </si>
  <si>
    <t>Impact (Scope / Time / Cost)</t>
  </si>
  <si>
    <t>Decision</t>
  </si>
  <si>
    <t>CR-000</t>
  </si>
  <si>
    <t>Template row — delete when first real CR lands</t>
  </si>
  <si>
    <t>Tue 05 May 2026 (W2 end)</t>
  </si>
  <si>
    <t>Tue 19 May 2026 (W4 end)</t>
  </si>
  <si>
    <t>First Working Version</t>
  </si>
  <si>
    <t>Tue 16 Jun 2026 (W8 end)</t>
  </si>
  <si>
    <t>Tue 14 Jul 2026 (W12 end)</t>
  </si>
  <si>
    <t>Full-coverage rollout</t>
  </si>
  <si>
    <t>Goal</t>
  </si>
  <si>
    <t>Exit Criterion</t>
  </si>
  <si>
    <t>Pilot</t>
  </si>
  <si>
    <t>Holiday</t>
  </si>
  <si>
    <t>Mon 27 Apr 2026</t>
  </si>
  <si>
    <t>Thu 30 Apr 2026</t>
  </si>
  <si>
    <t>Reunification Day</t>
  </si>
  <si>
    <t>Fri 01 May 2026</t>
  </si>
  <si>
    <t>International Labour Day</t>
  </si>
  <si>
    <t>Wed 02 Sep 2026</t>
  </si>
  <si>
    <t>National Day</t>
  </si>
  <si>
    <t>FS Dev #1</t>
  </si>
  <si>
    <t>FS Dev #2</t>
  </si>
  <si>
    <t>Designer-Lead (borrowed)</t>
  </si>
  <si>
    <t>Data Engineer</t>
  </si>
  <si>
    <t>Response SLA</t>
  </si>
  <si>
    <t>Severity</t>
  </si>
  <si>
    <t>Output</t>
  </si>
  <si>
    <t>Sprint planning</t>
  </si>
  <si>
    <t>PM + Sponsor</t>
  </si>
  <si>
    <t>Methodology selected: Agile Scrum, 2-week sprints. Not Waterfall. Not Hybrid.</t>
  </si>
  <si>
    <t>DoR / DoD per phase</t>
  </si>
  <si>
    <t>Input</t>
  </si>
  <si>
    <t>Definition of Ready (DoR)</t>
  </si>
  <si>
    <t>Definition of Done (DoD)</t>
  </si>
  <si>
    <t>Analysis</t>
  </si>
  <si>
    <t>Business need + BRD</t>
  </si>
  <si>
    <t>User story with acceptance criteria</t>
  </si>
  <si>
    <t>Stakeholder confirms problem; metric is quantifiable</t>
  </si>
  <si>
    <t>Story has AC + effort estimate + sprint assignment</t>
  </si>
  <si>
    <t>Design</t>
  </si>
  <si>
    <t>Story</t>
  </si>
  <si>
    <t>High-level + low-level design; UX mockup</t>
  </si>
  <si>
    <t>Scope signed-off in sprint planning</t>
  </si>
  <si>
    <t>Tech-review passed; design token adherence verified</t>
  </si>
  <si>
    <t>Tech Lead + Designer</t>
  </si>
  <si>
    <t>Dev</t>
  </si>
  <si>
    <t>Design + story</t>
  </si>
  <si>
    <t>Code + unit tests + integration tests</t>
  </si>
  <si>
    <t>Task ≤ 5 MD; one owner; AC is measurable</t>
  </si>
  <si>
    <t>Test-first: test written and failing before code · ≥70% coverage (lines · functions · branches) · no tests/ dirs (tests co-located) · no Promise.all on DB queries in handlers · no .js extensions on relative imports · code review approved by Tech Lead or peer</t>
  </si>
  <si>
    <t>Build</t>
  </si>
  <si>
    <t>Test report; defect list</t>
  </si>
  <si>
    <t>Test plan approved; UAT environment reachable</t>
  </si>
  <si>
    <t>0 critical · ≤ 2 high with documented workaround · ≥ 95% test pass · coverage ≥ 70% · security scan clean</t>
  </si>
  <si>
    <t>UAT / Pilot rehearsal</t>
  </si>
  <si>
    <t>Signed build</t>
  </si>
  <si>
    <t>Pilot rehearsal sign-off</t>
  </si>
  <si>
    <t>UAT env with realistic data; pilot playbook drafted</t>
  </si>
  <si>
    <t>≥ 95% pass on pilot rehearsal scripts; no blocker</t>
  </si>
  <si>
    <t>PM + BA</t>
  </si>
  <si>
    <t>Release</t>
  </si>
  <si>
    <t>UAT sign-off</t>
  </si>
  <si>
    <t>Pilot-staging deployment</t>
  </si>
  <si>
    <t>Runbook ready; rollback plan in place</t>
  </si>
  <si>
    <t>Smoke test passes; Langfuse + CloudWatch dashboards green for 2 hours on staging</t>
  </si>
  <si>
    <t>Metric tiles (populated weekly)</t>
  </si>
  <si>
    <t>Week Value</t>
  </si>
  <si>
    <t>Progress (% of MVP scope delivered)</t>
  </si>
  <si>
    <t>100% by W8</t>
  </si>
  <si>
    <t>Defect rate (P1+P2 / total closed)</t>
  </si>
  <si>
    <t>&lt; 2%</t>
  </si>
  <si>
    <t>Coverage (lines, functions, branches)</t>
  </si>
  <si>
    <t>≥ 70% per CLAUDE.md</t>
  </si>
  <si>
    <t>Pilot CSAT (set at pilot W4)</t>
  </si>
  <si>
    <t>≥ 4 / 5</t>
  </si>
  <si>
    <t>Sprint Velocity</t>
  </si>
  <si>
    <t>Planned story points</t>
  </si>
  <si>
    <t>Delivered story points</t>
  </si>
  <si>
    <t>TBD (after planning)</t>
  </si>
  <si>
    <t>3-day holiday capacity hit</t>
  </si>
  <si>
    <t>Burn-down</t>
  </si>
  <si>
    <t>Stack (card grid, 6 cards)</t>
  </si>
  <si>
    <t>Card</t>
  </si>
  <si>
    <t>Choice</t>
  </si>
  <si>
    <t>Rationale</t>
  </si>
  <si>
    <t>Frontend</t>
  </si>
  <si>
    <t>Next.js 16 (multi-zones, 11 zones + shell) · TypeScript 6 · React 19 · Tailwind v4 · @future/ui (CVA-based) · next-themes</t>
  </si>
  <si>
    <t>Multi-zone architecture isolates zone failures; Tailwind + design tokens enforce DESIGN.md discipline; zones fully autonomous</t>
  </si>
  <si>
    <t>Backend</t>
  </si>
  <si>
    <t>NestJS 11 modular monolith · Turborepo · tRPC 11 (end-to-end type-safe) · Hexagonal + DDD per module · Bun 1.3 runtime</t>
  </si>
  <si>
    <t>One API service; cross-module communication via QueryFacade + domain events; no FK across schema boundaries; module autonomy</t>
  </si>
  <si>
    <t>Database</t>
  </si>
  <si>
    <t>PostgreSQL 16 · Drizzle ORM · schema-per-module · RLS on every tenant-scoped table · tenant_id mandatory · pgBouncer pool</t>
  </si>
  <si>
    <t>Schema-per-module keeps boundaries; RLS prevents cross-tenant data escape by construction; pool-client-per-request enforced</t>
  </si>
  <si>
    <t>Infrastructure</t>
  </si>
  <si>
    <t>AWS ECS Fargate Graviton ARM64 · ECR · CloudFront · WAF · Secrets Manager · ap-southeast-1 region</t>
  </si>
  <si>
    <t>ARM64 only for cost; Secrets Manager only for credentials; no console changes (Terraform only)</t>
  </si>
  <si>
    <t>Langfuse (self-hosted ECS) for LLM traces · CloudWatch logs · Sentry for FE errors · OpenTelemetry for spans</t>
  </si>
  <si>
    <t>Langfuse bridges LLM + tool + sub-agent traces; OTel + Langfuse unified through AI SDK wiring</t>
  </si>
  <si>
    <t>Zero-trust · Entra ID SSO · RLS + canDo + tRPC middleware · KMS-encrypted at rest · TLS in transit · SAST/DAST in CI · SBOM per image</t>
  </si>
  <si>
    <t>Defence-in-depth; LLM outputs are never trusted to perform privileged operations</t>
  </si>
  <si>
    <t>Jobs &amp; events</t>
  </si>
  <si>
    <t>•  pg-boss for scheduled + triggered jobs (reminders, digest, sync polling, subscription renewal).</t>
  </si>
  <si>
    <t>•  outbox_event table + polling relay for cross-module events (zero-dependency plain-TS shapes in packages/event-contracts).</t>
  </si>
  <si>
    <t>AI runtime</t>
  </si>
  <si>
    <t>•  Vercel AI SDK + OpenAI (gpt-5.4-nano classify, gpt-5.4 reason, text-embedding-3-small embeddings).</t>
  </si>
  <si>
    <t>•  Tool/MCP registry with ToolGateway 10-step pipeline (auth · permission · taint · rate · budget · args-validate · execute · sanitize · log · trace).</t>
  </si>
  <si>
    <t>Test pyramid (target mix)</t>
  </si>
  <si>
    <t>Test Type Ownership</t>
  </si>
  <si>
    <t>Test Type</t>
  </si>
  <si>
    <t>Scope</t>
  </si>
  <si>
    <t>Tooling</t>
  </si>
  <si>
    <t>Unit</t>
  </si>
  <si>
    <t>Function / class / handler / component</t>
  </si>
  <si>
    <t>Vitest · Testing Library · co-located tests (no tests/ dirs)</t>
  </si>
  <si>
    <t>Integration</t>
  </si>
  <si>
    <t>Module API · cross-handler flows · tRPC contract</t>
  </si>
  <si>
    <t>Dev + QA</t>
  </si>
  <si>
    <t>Vitest + real Postgres (testcontainers)</t>
  </si>
  <si>
    <t>System / E2E</t>
  </si>
  <si>
    <t>End-to-end user flow</t>
  </si>
  <si>
    <t>Playwright · critical flows only</t>
  </si>
  <si>
    <t>Load / stress on hot endpoints</t>
  </si>
  <si>
    <t>k6 · run pre-M04</t>
  </si>
  <si>
    <t>SAST · DAST · dependency audit · prompt-injection suite · penetration test</t>
  </si>
  <si>
    <t>Security (+ AI Eng for AI boundary)</t>
  </si>
  <si>
    <t>CodeQL · Snyk · custom adversarial suite · bun audit</t>
  </si>
  <si>
    <t>Business scenario</t>
  </si>
  <si>
    <t>BA + Pilot Team</t>
  </si>
  <si>
    <t>Scripted rehearsal + real pilot users</t>
  </si>
  <si>
    <t>Exit criteria (gate every milestone)</t>
  </si>
  <si>
    <t>•  0 critical bugs</t>
  </si>
  <si>
    <t>•  ≤ 2 high bugs with documented workaround</t>
  </si>
  <si>
    <t>•  ≥ 95% test pass rate</t>
  </si>
  <si>
    <t>•  ≥ 70% coverage (lines, functions, branches) per CLAUDE.md</t>
  </si>
  <si>
    <t>•  Security scan clean (SAST + dependency audit)</t>
  </si>
  <si>
    <t>•  AI adversarial test suite green (Phase 2)</t>
  </si>
  <si>
    <t>Discipline rules</t>
  </si>
  <si>
    <t>•  Test first. No test = feature not started. Test not passing = not done.</t>
  </si>
  <si>
    <t>•  Handlers: unit test every error path, not just the happy path.</t>
  </si>
  <si>
    <t>•  Cross-module: integration test against a real database.</t>
  </si>
  <si>
    <t>•  Critical user flows: Playwright E2E.</t>
  </si>
  <si>
    <t>6-step pipeline</t>
  </si>
  <si>
    <t>•  Source — GitHub · trunk-based with feature branches · PR review required · CI green + 1 approval to merge</t>
  </si>
  <si>
    <t>•  Build — GitHub Actions · Turborepo remote cache · lint · unit · SAST · image build (ARM64 only)</t>
  </si>
  <si>
    <t>•  Test — Vitest · Playwright · integration against real Postgres via testcontainers · coverage report attached to PR</t>
  </si>
  <si>
    <t>•  Package — Docker ARM64 image · ECR push · SBOM generation · Cosign sign</t>
  </si>
  <si>
    <t>•  Deploy — ECS Fargate rolling deploy to a single pilot-staging env (no production env in this MVP) · auto-rollback on health check failure. Production environment is a post-pilot scope item; the pilot itself runs on staging.</t>
  </si>
  <si>
    <t>•  Monitor — Langfuse · CloudWatch · Sentry · SLO dashboards · on-call rotation (pilot only)</t>
  </si>
  <si>
    <t>DORA targets (Elite-level aim)</t>
  </si>
  <si>
    <t>DORA metric</t>
  </si>
  <si>
    <t>Deploy frequency</t>
  </si>
  <si>
    <t>Daily (at least during build phase)</t>
  </si>
  <si>
    <t>Lead time for change</t>
  </si>
  <si>
    <t>&lt; 1 day from PR-open to staging-live</t>
  </si>
  <si>
    <t>Change failure rate</t>
  </si>
  <si>
    <t>&lt; 15%</t>
  </si>
  <si>
    <t>MTTR</t>
  </si>
  <si>
    <t>&lt; 1 hour</t>
  </si>
  <si>
    <t>AI is integrated into each role to accelerate delivery and reduce manual effort. Budgeted on 1× Claude Max x20 shared subscription + ~$200 AI API cap.</t>
  </si>
  <si>
    <t>AI Use</t>
  </si>
  <si>
    <t>Impact Target</t>
  </si>
  <si>
    <t>Code assistant · auto-completion · unit-test generation · architecture Q&amp;A</t>
  </si>
  <si>
    <t>↑ Productivity 25–40%</t>
  </si>
  <si>
    <t>Auto-generated test cases · visual regression · adversarial prompt generation</t>
  </si>
  <si>
    <t>↓ Manual effort 50%</t>
  </si>
  <si>
    <t>Risk prediction · velocity forecast · early-warning retro synthesis</t>
  </si>
  <si>
    <t>Early warning 2–3 sprints</t>
  </si>
  <si>
    <t>Requirement parsing · user-story refinement · legacy-system interview synthesis</t>
  </si>
  <si>
    <t>Faster discovery 30%</t>
  </si>
  <si>
    <t>Ops</t>
  </si>
  <si>
    <t>Anomaly detection · incident triage · RCA assist</t>
  </si>
  <si>
    <t>↓ MTTR 40%</t>
  </si>
  <si>
    <t>Client (in-product)</t>
  </si>
  <si>
    <t>Agent + conversational AI (optional add-on to the product itself)</t>
  </si>
  <si>
    <t>Business-value uplift measured in pilot outcomes G1–G7</t>
  </si>
  <si>
    <t>Principle: Human-in-the-loop by default. Sample any AI-generated code in CR. No autonomous writes in user-facing paths without HITL approval.</t>
  </si>
  <si>
    <t>Four quadrants. Each quadrant is green for pre-pilot sign-off.</t>
  </si>
  <si>
    <t>Delivery</t>
  </si>
  <si>
    <t>•  Go-live (pilot start) within ±1 week of plan (Wed 17 Jun 2026).</t>
  </si>
  <si>
    <t>•  Budget variance ≤ 10% of approved shape.</t>
  </si>
  <si>
    <t>•  100% of MVP scope from 03-Scope Block 2 delivered or explicitly deferred via CR.</t>
  </si>
  <si>
    <t>•  0 critical bugs at pre-pilot gate.</t>
  </si>
  <si>
    <t>•  ≥ 70% coverage per CLAUDE.md (lines, functions, branches).</t>
  </si>
  <si>
    <t>•  ≥ 95% pre-pilot rehearsal pass rate.</t>
  </si>
  <si>
    <t>•  Defect leakage to pilot &lt; 5%.</t>
  </si>
  <si>
    <t>•  Security scan clean + penetration test returns zero permission-leak incidents.</t>
  </si>
  <si>
    <t>Adoption</t>
  </si>
  <si>
    <t>•  Pilot active-user rate ≥ 80% in pilot W4 (measured: logged in ≥ 3 times in the week).</t>
  </si>
  <si>
    <t>•  Pilot CSAT ≥ 4 / 5 in W4 interviews.</t>
  </si>
  <si>
    <t>•  Training / onboarding completion ≥ 90% among pilot users.</t>
  </si>
  <si>
    <t>•  Support-ticket volume trending downward across pilot W1 → W4.</t>
  </si>
  <si>
    <t>Outcome</t>
  </si>
  <si>
    <t>•  G1 chase-up reduction: meaningful reduction measured by time diary.</t>
  </si>
  <si>
    <t>•  G2 workaround displacement: &lt; 1/3 of pilot users still keep side-records.</t>
  </si>
  <si>
    <t>•  G3 leadership behaviour change: ≥ 2 of 5 leaders answer yes concretely to all three interview questions.</t>
  </si>
  <si>
    <t>•  G4 AI capture recall ≥ 70%; reviewer acceptance ≥ 70%.</t>
  </si>
  <si>
    <t>•  G7 conversational AI first-attempt correctness ≥ 80%; zero permission-leak incidents.</t>
  </si>
  <si>
    <t>Sheet: 06-Resources</t>
  </si>
  <si>
    <t>Block 1 — Allocation</t>
  </si>
  <si>
    <t>Person</t>
  </si>
  <si>
    <t>Effort</t>
  </si>
  <si>
    <t>Tracks covered</t>
  </si>
  <si>
    <t>Canh Ta</t>
  </si>
  <si>
    <t>50%</t>
  </si>
  <si>
    <t>All tracks (delivery · backlog · prioritisation · scope · comms)</t>
  </si>
  <si>
    <t>Nguyen Hương Ly</t>
  </si>
  <si>
    <t>PO + Sponsor</t>
  </si>
  <si>
    <t>Hung Vu (dual-hatted)</t>
  </si>
  <si>
    <t>BOD-level (weekly sync + sprint review)</t>
  </si>
  <si>
    <t>Story acceptance at sprint review; Definition of Success sign-off; scope veto; kill-criteria evaluation; gate decisions</t>
  </si>
  <si>
    <t>Scrum Master</t>
  </si>
  <si>
    <t>Ceremonies, velocity, unblocking</t>
  </si>
  <si>
    <t>50% (flexible)</t>
  </si>
  <si>
    <t>Planner MVP requirements / UAT / pilot feedback + parallel legacy-systems discovery (EMS · Timesheet · Hiring · Resource Insight). PM covers capacity gaps.</t>
  </si>
  <si>
    <t>100%</t>
  </si>
  <si>
    <t>Core AI Agent (Phase 1 + Phase 2) + Planner-domain Agent integration (transcript sub-agent, conversational executor)</t>
  </si>
  <si>
    <t>Full-Stack #1</t>
  </si>
  <si>
    <t>Both full-stack devs own their assigned modules/features end-to-end (BE + FE + Core-slice work for those features). Split between FS#1 and FS#2 is by module/feature, not by BE vs FE discipline — neither dev specialises in one layer. Per-feature ownership finalised at Kickoff (see 03-Scope Block 1 WBS Owner column for provisional assignment) and reflected in this allocation row.</t>
  </si>
  <si>
    <t>Full-Stack #2</t>
  </si>
  <si>
    <t>See Full-Stack #1 — both devs full-stack. Per-feature ownership finalised at Kickoff; provisional split on 03-Scope Block 1.</t>
  </si>
  <si>
    <t>100% (contingent on W1 onboarding)</t>
  </si>
  <si>
    <t>Core Data Platform (deferred from MVP if onboarding slips; operational-DB queries carry aggregated views during pilot)</t>
  </si>
  <si>
    <t>Mia / Darcy</t>
  </si>
  <si>
    <t>Part-time, named windows</t>
  </si>
  <si>
    <t>Allocation % per track (indicative, for the bar chart)</t>
  </si>
  <si>
    <t>Each Full-Stack dev is shown with a total 100% that is split across tracks; the same-row % for the two FS devs reflects the expected per-Kickoff split. Both are full-stack — these percentages are by module/feature scope, not by BE-vs-FE discipline.</t>
  </si>
  <si>
    <t>Track</t>
  </si>
  <si>
    <t>DE</t>
  </si>
  <si>
    <t>Designer</t>
  </si>
  <si>
    <t>Planner (module features, BE + FE)</t>
  </si>
  <si>
    <t>20%</t>
  </si>
  <si>
    <t>35% MVP share (flexible)</t>
  </si>
  <si>
    <t>40% (Agent integration)</t>
  </si>
  <si>
    <t>60%</t>
  </si>
  <si>
    <t>40%</t>
  </si>
  <si>
    <t>30% (if in)</t>
  </si>
  <si>
    <t>0%</t>
  </si>
  <si>
    <t>30%</t>
  </si>
  <si>
    <t>10% (if in)</t>
  </si>
  <si>
    <t>Core AI Agent (horizontal, Phase 1 + 2)</t>
  </si>
  <si>
    <t>Governance + ceremonies</t>
  </si>
  <si>
    <t>65%</t>
  </si>
  <si>
    <t>BA legacy-discovery (parallel)</t>
  </si>
  <si>
    <t>65% (flexible — inverse of Planner)</t>
  </si>
  <si>
    <t>60% (if in)</t>
  </si>
  <si>
    <t>Block 2 — RACI Matrix</t>
  </si>
  <si>
    <t>Rule: Every task row has exactly one Accountable. R = Responsible (does the work), A = Accountable (one person, owns the outcome), C = Consulted (provides input), I = Informed (kept in the loop).</t>
  </si>
  <si>
    <t>Task</t>
  </si>
  <si>
    <t>Requirements definition</t>
  </si>
  <si>
    <t>A</t>
  </si>
  <si>
    <t>C</t>
  </si>
  <si>
    <t>I</t>
  </si>
  <si>
    <t>R</t>
  </si>
  <si>
    <t>Architecture decisions</t>
  </si>
  <si>
    <t>UX / design artefacts</t>
  </si>
  <si>
    <t>Backlog prioritisation</t>
  </si>
  <si>
    <t>A/R</t>
  </si>
  <si>
    <t>Story acceptance at sprint review</t>
  </si>
  <si>
    <t>Planner module implementation (BE + FE — per-feature ownership set at Kickoff)</t>
  </si>
  <si>
    <t>A/R\*</t>
  </si>
  <si>
    <t>Core Backend (horizontal) implementation</t>
  </si>
  <si>
    <t>Core Frontend (horizontal) implementation</t>
  </si>
  <si>
    <t>Core AI Agent implementation (Phase 1 + 2)</t>
  </si>
  <si>
    <t>Planner Agent integration (transcript, HITL, conversational)</t>
  </si>
  <si>
    <t>Testing (unit + integration)</t>
  </si>
  <si>
    <t>Testing (system / E2E)</t>
  </si>
  <si>
    <t>Adversarial / penetration testing (AI boundary)</t>
  </si>
  <si>
    <t>Release / deployment</t>
  </si>
  <si>
    <t>Pilot measurement + interviews</t>
  </si>
  <si>
    <t>Scope change approval (CR)</t>
  </si>
  <si>
    <t>Scope veto</t>
  </si>
  <si>
    <t>Kill-criteria evaluation</t>
  </si>
  <si>
    <t>Wave rollout decision</t>
  </si>
  <si>
    <t>Pilot-to-Wave gate decision</t>
  </si>
  <si>
    <t>Project closure</t>
  </si>
  <si>
    <t>Read: PM is Accountable for delivery and backlog; PO (Hung Vu, dual-hatted) is Accountable for story acceptance; Sponsor (also Hung Vu) is Accountable for gate decisions and closure. Every other row has exactly one A.</t>
  </si>
  <si>
    <t>\ On the Planner / Core BE / Core FE rows, A/R indicates the feature owner (either FS#1 or FS#2) for a given feature; the R next to it is the partner dev who contributes. Per-feature ownership is set at Kickoff and recorded in the Owner column of 03-Scope Block 1 WBS-Master. Each full-stack dev owns their assigned features end-to-end — both BE and FE layers of those features.</t>
  </si>
  <si>
    <t>Sheet: 07-DCA</t>
  </si>
  <si>
    <t>Block 1 — Dependencies</t>
  </si>
  <si>
    <t>External and cross-track dependencies that must be resolved for the plan to execute on schedule.</t>
  </si>
  <si>
    <t>Impact if late</t>
  </si>
  <si>
    <t>Due Date</t>
  </si>
  <si>
    <t>D-01</t>
  </si>
  <si>
    <t>Microsoft 365 tenant admin consent for Entra ID SSO application registration</t>
  </si>
  <si>
    <t>Blocks Core BE W-B03 and every subsequent sign-in</t>
  </si>
  <si>
    <t>IT (SETA)</t>
  </si>
  <si>
    <t>Fri 24 Apr 2026 (W1)</t>
  </si>
  <si>
    <t>D-02</t>
  </si>
  <si>
    <t>Microsoft Graph application permissions granted: User.Read.All, Group.Read.All, ChatMessage.Read.All (or tenant-filtered equivalents), Tasks.ReadWrite, OnlineMeetings.Read.All, CallRecords.Read.All, transcript webhook scope</t>
  </si>
  <si>
    <t>Blocks Core BE W-B14 and Planner W-P11</t>
  </si>
  <si>
    <t>Fri 01 May 2026 (W2)</t>
  </si>
  <si>
    <t>D-03</t>
  </si>
  <si>
    <t>AWS account + VPC + ECS cluster + ECR + Secrets Manager + CloudFront distribution provisioned (Terraform ready)</t>
  </si>
  <si>
    <t>Blocks all deployments</t>
  </si>
  <si>
    <t>D-04</t>
  </si>
  <si>
    <t>OpenAI API key provisioned, budget guardrails set on OpenAI side</t>
  </si>
  <si>
    <t>Blocks Core AI W-A01 and every AI-driven feature</t>
  </si>
  <si>
    <t>D-05</t>
  </si>
  <si>
    <t>Langfuse deployment target confirmed (self-hosted ECS vs managed cloud)</t>
  </si>
  <si>
    <t>Blocks Core AI W-A08</t>
  </si>
  <si>
    <t>D-06</t>
  </si>
  <si>
    <t>CEO + Designer's primary project lead</t>
  </si>
  <si>
    <t>Tue 22 Apr 2026 (Kickoff)</t>
  </si>
  <si>
    <t>D-07</t>
  </si>
  <si>
    <t>Data Engineer onboarding decision (will DE join in W1?)</t>
  </si>
  <si>
    <t>If no, Core Data Platform is deferred per BMM; aggregated views fall back to direct operational-DB queries in pilot</t>
  </si>
  <si>
    <t>D-08</t>
  </si>
  <si>
    <t>PMO + PM</t>
  </si>
  <si>
    <t>D-09</t>
  </si>
  <si>
    <t>Vietnamese government holiday-announcement dates confirmed by SETA HR</t>
  </si>
  <si>
    <t>Affects Sprint 1 capacity accuracy on 04-Timeline Block 5</t>
  </si>
  <si>
    <t>HR</t>
  </si>
  <si>
    <t>D-10</t>
  </si>
  <si>
    <t>SBOM + software-composition-analysis tooling integrated into CI</t>
  </si>
  <si>
    <t>Blocks 02-Contract Block 3 item #3</t>
  </si>
  <si>
    <t>Fri 15 May 2026 (W4)</t>
  </si>
  <si>
    <t>D-11</t>
  </si>
  <si>
    <t>Admin scope configuration signed off for pilot (which teams / projects ingested)</t>
  </si>
  <si>
    <t>Blocks pilot start</t>
  </si>
  <si>
    <t>Admin (role assignment) + PM</t>
  </si>
  <si>
    <t>Fri 12 Jun 2026 (W8)</t>
  </si>
  <si>
    <t>D-12</t>
  </si>
  <si>
    <t>Existing email (SES) from-address + DNS records provisioned</t>
  </si>
  <si>
    <t>Blocks notifications + reminders + digest</t>
  </si>
  <si>
    <t>IT</t>
  </si>
  <si>
    <t>Fri 08 May 2026 (W2-W3 boundary)</t>
  </si>
  <si>
    <t>Block 2 — Constraints</t>
  </si>
  <si>
    <t>Type</t>
  </si>
  <si>
    <t>Impact</t>
  </si>
  <si>
    <t>Time</t>
  </si>
  <si>
    <t>MVP pilot-ready by end W8 (Tue 16 Jun 2026); pilot-to-Wave gate W12. Hard stop on build at W8.</t>
  </si>
  <si>
    <t>Scope must fit capacity — see 03-Scope Block 1 rollup vs capacity note.</t>
  </si>
  <si>
    <t>Capacity</t>
  </si>
  <si>
    <t>Team time only. Plus 1× Claude Max x20 shared subscription (PM-held) and ~$200 AI API cap. Infrastructure + MS 365 licences under existing organisational accounts.</t>
  </si>
  <si>
    <t>No external dollar budget to draw from; all tradeoffs are in time + scope, not money.</t>
  </si>
  <si>
    <t>Language</t>
  </si>
  <si>
    <t>English only for UI, email, AI outputs, and pilot measurement instruments.</t>
  </si>
  <si>
    <t>VN-speaking users are assumed to read English in product; no translation layer.</t>
  </si>
  <si>
    <t>Client</t>
  </si>
  <si>
    <t>Current desktop browsers (Chromium · Firefox · Safari latest); responsive where feasible; mobile-native deferred.</t>
  </si>
  <si>
    <t>Pilot users on mobile get responsive web, not a native app.</t>
  </si>
  <si>
    <t>Stack</t>
  </si>
  <si>
    <t>Next.js multi-zones · NestJS modular monolith · Drizzle + Postgres 16 · tRPC · ECS Fargate ARM64. No deviations.</t>
  </si>
  <si>
    <t>ARM64 dependency check required for every added package.</t>
  </si>
  <si>
    <t>Region</t>
  </si>
  <si>
    <t>AWS ap-southeast-1 (Singapore) exclusively for compute + data.</t>
  </si>
  <si>
    <t>Cross-region breakout is a process change, not a plan item.</t>
  </si>
  <si>
    <t>Environments</t>
  </si>
  <si>
    <t>Single pilot-staging environment in this MVP. No production environment. Pilot runs on staging. Production environment is scoped post-pilot (pre-Wave-1).</t>
  </si>
  <si>
    <t>Release runbook, rollback drills, monitoring, on-call rotation all target staging. Production-grade hardening (scaling, DR, backup windows, blue-green) is deferred to the post-pilot scope.</t>
  </si>
  <si>
    <t>Microsoft 365 tenant (Teams transcripts · Planner · Entra ID directory) is the single upstream integration. No other third-party.</t>
  </si>
  <si>
    <t>Teams-only capture; hallway / phone / external meetings are out of scope.</t>
  </si>
  <si>
    <t>Retention</t>
  </si>
  <si>
    <t>Action data, evidence, transcripts, audit indefinite by default; admin can delete with logged reason.</t>
  </si>
  <si>
    <t>Storage cost rises over time; retention policy revisited post-pilot.</t>
  </si>
  <si>
    <t>Team rotation</t>
  </si>
  <si>
    <t>Team core must not be rotated in the 2-month build window.</t>
  </si>
  <si>
    <t>If rotated, ramp-up cost + rework risk is R-Team in 08-Risks-Issues.</t>
  </si>
  <si>
    <t>Block 3 — Assumptions</t>
  </si>
  <si>
    <t>Assumption</t>
  </si>
  <si>
    <t>Impact if false</t>
  </si>
  <si>
    <t>Microsoft Teams is SETA's dominant meeting channel and transcription is actively enabled tenant-wide.</t>
  </si>
  <si>
    <t>Capture volume drops; Agent training signal weakens; G4 recall target at risk.</t>
  </si>
  <si>
    <t>Meetings captured by the Agent are calendar-backed scheduled meetings; ad-hoc Teams meetings created via API are not expected in scope.</t>
  </si>
  <si>
    <t>Some meetings fall outside capture; users may assume coverage they don't have.</t>
  </si>
  <si>
    <t>Admin configures auto-capture scope conservatively at pilot launch (opt-in by team).</t>
  </si>
  <si>
    <t>Privacy pushback; pilot users feel surveilled; workaround displacement worsens.</t>
  </si>
  <si>
    <t>Internal engineering capacity covers the seven-person team plus the Designer-Lead for the full 2-month build window.</t>
  </si>
  <si>
    <t>R-Capacity realised; scope rebaseline via CR.</t>
  </si>
  <si>
    <t>Designer-Lead retains the agreed weekly window for HITL queue, dashboards, and action detail surfaces.</t>
  </si>
  <si>
    <t>Design quality on the three critical surfaces slips; R-Designer realised.</t>
  </si>
  <si>
    <t>AI productivity assumption: ~2× on appropriate tasks (code generation, test generation, docs); potentially negative on critical-path design.</t>
  </si>
  <si>
    <t>Velocity below plan; scope rebaseline via CR.</t>
  </si>
  <si>
    <t>Data Engineer onboarding is decided at Kickoff.</t>
  </si>
  <si>
    <t>If DE not onboarded, Core Data Platform is deferred and aggregated views run on direct operational-DB queries; revisited before Wave 2.</t>
  </si>
  <si>
    <t>Pilot users engage with measurement (time diary, interviews, query review).</t>
  </si>
  <si>
    <t>Outcome measures (G1–G7) become unreliable; pilot gate decision is weakened.</t>
  </si>
  <si>
    <t>Microsoft Graph API rate limits and subscription-renewal cadence are predictable within documented bounds.</t>
  </si>
  <si>
    <t>R-MS-Graph realised; polling intervals widened; sync latency degrades.</t>
  </si>
  <si>
    <t>OpenAI API availability and cost stay within the approved budget shape (~$200 cap).</t>
  </si>
  <si>
    <t>Cost-meter circuit breaker triggers; conversational AI disabled per kill switch until budget increased.</t>
  </si>
  <si>
    <t>Penetration-style adversarial testing by PM + BA is sufficient proof for pre-pilot security sign-off (no external audit in the 2-month window).</t>
  </si>
  <si>
    <t>If not sufficient, external pentest is a post-pilot blocker for Wave 1.</t>
  </si>
  <si>
    <t>Sheet: 08-Risks-Issues</t>
  </si>
  <si>
    <t>Block 1 — Risk Register</t>
  </si>
  <si>
    <t>Probability (P) and Impact (I) scored as L / M / H. Score = worst of P×I (L, M, H, H+). Status updated weekly.</t>
  </si>
  <si>
    <t>Risk</t>
  </si>
  <si>
    <t>P</t>
  </si>
  <si>
    <t>Score</t>
  </si>
  <si>
    <t>Mitigation</t>
  </si>
  <si>
    <t>R-01</t>
  </si>
  <si>
    <t>Scope accumulation. PM at 50% with shared coordination duties; without explicit scope authority, features accumulate mid-build.</t>
  </si>
  <si>
    <t>H+</t>
  </si>
  <si>
    <t>PM given written veto authority by Sponsor at Kickoff. Bi-weekly scope check in retros. Every addition requires an explicit cut. Scope-change discipline on 03-Scope Block 4.</t>
  </si>
  <si>
    <t>Open</t>
  </si>
  <si>
    <t>R-02</t>
  </si>
  <si>
    <t>Designer-Lead availability slip. Designer (Mia/Darcy) is borrowed from another project; demands may compete with their primary project.</t>
  </si>
  <si>
    <t>R-03</t>
  </si>
  <si>
    <t>R-04</t>
  </si>
  <si>
    <t>DE onboarding delay. Core Data Platform is on the critical path for optimal aggregated views and the executive digest.</t>
  </si>
  <si>
    <t>If DE not onboarded by W1, Core DP is deferred; aggregated views and digest run on direct operational-DB queries in pilot. Architecture revisited before Wave 2.</t>
  </si>
  <si>
    <t>R-05</t>
  </si>
  <si>
    <t>AI proposal quality (hallucination · wrong owner · wrong deadline).</t>
  </si>
  <si>
    <t>Pilot informs prompt tuning. Per-capability kill switch. Rejection rate tracked in Langfuse. Confidence threshold tuned during pilot.</t>
  </si>
  <si>
    <t>R-06</t>
  </si>
  <si>
    <t>Single-person dependency on AI Engineer. Owns Core AI Agent Phase 1 + 2, Planner-domain sub-agent, extraction prompts, conversational executor.</t>
  </si>
  <si>
    <t>R-07</t>
  </si>
  <si>
    <t>Permission-leak via conversational AI. A query returns data the user should not have access to due to a gap in how AI translates natural language into the permissions engine.</t>
  </si>
  <si>
    <t>AI Eng + QA</t>
  </si>
  <si>
    <t>R-08</t>
  </si>
  <si>
    <t>Meeting organiser flooded with disambiguation requests. Heavy meeting organisers (PMs · CEO in strategy meetings) accumulate many unassigned-owner proposals.</t>
  </si>
  <si>
    <t>Confidence threshold tuned during pilot to set the right precision/recall balance. Disambiguation proposals batched into a single daily email per organiser. 7-day auto-expiry with Admin fallback. Bulk-reject in queue UI.</t>
  </si>
  <si>
    <t>R-09</t>
  </si>
  <si>
    <t>Microsoft Planner polling architecture. Graph does not provide change notifications for Planner tasks; aggressive polling across many plans risks throttling. Conservative polling extends sync latency.</t>
  </si>
  <si>
    <t>Polling interval Admin-configurable. Start at 5-minute intervals for pilot; monitor rate-limit headers and tune. Scope narrowed to Admin-designated plans. Delta queries used where available.</t>
  </si>
  <si>
    <t>R-10</t>
  </si>
  <si>
    <t>Microsoft Graph tenant admin consent delay. Required for Entra ID SSO, directory sync, Teams transcript subscription, Planner CRUD.</t>
  </si>
  <si>
    <t>Raised at Kickoff with IT. Fallback: ship identity + permission primitives behind magic-link in W1 so development is not blocked; wire SSO when consent lands.</t>
  </si>
  <si>
    <t>IT + PM</t>
  </si>
  <si>
    <t>R-11</t>
  </si>
  <si>
    <t>OpenAI cost runaway. Free-form queries + Phase 2 router fan-out to multiple sub-agents; unbounded token spend if router misclassifies.</t>
  </si>
  <si>
    <t>Circuit breaker at the cost layer (per-user + per-tenant daily budget). Budget dashboard visible to Admin. Hard cap on concurrent sub-agent spawn. Kill switch disables conversational AI independently.</t>
  </si>
  <si>
    <t>AI Eng + Admin</t>
  </si>
  <si>
    <t>R-12</t>
  </si>
  <si>
    <t>Transcript subscription latency / reliability. Graph change-notification delivery variance; subscription renewal can miss; transcripts may arrive minutes to hours after the meeting ends.</t>
  </si>
  <si>
    <t>Subscription-renewal job runs ahead of expiry with alerting. Fallback reconciliation job polls callRecords endpoint for missed transcripts. Planner UI surfaces "transcript pending" state transparently.</t>
  </si>
  <si>
    <t>FS#2 + AI Eng</t>
  </si>
  <si>
    <t>R-13</t>
  </si>
  <si>
    <t>R-14</t>
  </si>
  <si>
    <t>Team rotation during the build. Core team members pulled onto other projects; ramp-up cost + rework.</t>
  </si>
  <si>
    <t>Written commitment from Sponsor at Kickoff that core team is not rotated for the 8-week build. Pairing + documentation on every architectural decision reduces bus-factor.</t>
  </si>
  <si>
    <t>Sponsor + PM</t>
  </si>
  <si>
    <t>R-15</t>
  </si>
  <si>
    <t>Pilot measurement incomplete. BA at 50% with parallel legacy-discovery workstream; pilot interviews + ground-truth extraction may starve.</t>
  </si>
  <si>
    <t>BA + PM</t>
  </si>
  <si>
    <t>R-16</t>
  </si>
  <si>
    <t>Penetration test insufficient. PM + BA adversarial testing pre-pilot may miss deeper security flaws that an external pentest would catch.</t>
  </si>
  <si>
    <t>Defence-in-depth at every layer (RLS · canDo · tRPC middleware · AI boundary). External pentest scheduled post-pilot before Wave 1. Document scope of PM/BA pre-pilot test on this workbook.</t>
  </si>
  <si>
    <t>R-17</t>
  </si>
  <si>
    <t>Launch communication backfires (managers use aggregated views punitively rather than coachingly).</t>
  </si>
  <si>
    <t>Launch comms pack (W-PM05) coaches on coaching-first framing. Pilot Week-1 interview asks managers what they did with team-health view; course-correct if needed.</t>
  </si>
  <si>
    <t>Block 2 — Risk Heat Map</t>
  </si>
  <si>
    <t>Place risk IDs in cells. Colour the cell fill matching 04-Timeline Block 4 status legend (H+ = red, H = red, M = yellow, L = green).</t>
  </si>
  <si>
    <t>Impact L</t>
  </si>
  <si>
    <t>Impact M</t>
  </si>
  <si>
    <t>Impact H</t>
  </si>
  <si>
    <t>P H</t>
  </si>
  <si>
    <t>P M</t>
  </si>
  <si>
    <t>P L</t>
  </si>
  <si>
    <t>Block 3 — Issues Log</t>
  </si>
  <si>
    <t>Defects, blockers, and operational issues picked up during the build and pilot. Empty at Kickoff; populated throughout.</t>
  </si>
  <si>
    <t>Issue ID</t>
  </si>
  <si>
    <t>ETA</t>
  </si>
  <si>
    <t>ISS-000</t>
  </si>
  <si>
    <t>Template row — delete when first real issue lands</t>
  </si>
  <si>
    <t>Severity definitions</t>
  </si>
  <si>
    <t>Meaning</t>
  </si>
  <si>
    <t>SLA (from 05-Approach Block 3)</t>
  </si>
  <si>
    <t>P1 — Critical</t>
  </si>
  <si>
    <t>Pilot-impacting, security, data loss</t>
  </si>
  <si>
    <t>15 min response · 4 h resolve</t>
  </si>
  <si>
    <t>P2 — High</t>
  </si>
  <si>
    <t>Blocks pilot feature or gate</t>
  </si>
  <si>
    <t>1 h response · 1 bd resolve</t>
  </si>
  <si>
    <t>P3 — Medium</t>
  </si>
  <si>
    <t>Degraded behaviour, workaround available</t>
  </si>
  <si>
    <t>4 h response · 3 bd resolve</t>
  </si>
  <si>
    <t>P4 — Low</t>
  </si>
  <si>
    <t>Cosmetic, nice-to-have</t>
  </si>
  <si>
    <t>1 bd response · next release</t>
  </si>
  <si>
    <t>Block 4 — Risk &amp; Issue Management Process</t>
  </si>
  <si>
    <t>Four steps, run weekly at the BOD sync and daily at stand-up.</t>
  </si>
  <si>
    <t>•  Identify. Capture from team, stakeholder, retrospective, pilot user, or customer. Every new risk / issue gets an ID on this sheet.</t>
  </si>
  <si>
    <t>•  Assess. Probability × Impact → scoring → prioritise. Sort this sheet by score descending at every BOD weekly sync.</t>
  </si>
  <si>
    <t>•  Mitigate. Action plan with owner, due date, and — if needed — budget ask. Record the mitigation in this sheet's Mitigation column.</t>
  </si>
  <si>
    <t>•  Monitor. Weekly review at BOD sync; mark as closed when resolved. No silent closure — status change is a row update.</t>
  </si>
  <si>
    <t>Cadence</t>
  </si>
  <si>
    <t>•  Daily stand-up: SM runs through open issues sorted by severity.</t>
  </si>
  <si>
    <t>•  Weekly BOD sync: PM walks through open risks + top issues; decisions recorded in the sheet.</t>
  </si>
  <si>
    <t>•  Sprint retrospective: SM prompts "any new risks to surface?"; filed before next sprint.</t>
  </si>
  <si>
    <t>•  Monthly Steering Committee: PM presents risk heat map and top mitigations.</t>
  </si>
  <si>
    <t>Category</t>
  </si>
  <si>
    <t>Team time</t>
  </si>
  <si>
    <t>AI assistance (build)</t>
  </si>
  <si>
    <t>AI API runtime</t>
  </si>
  <si>
    <t>~$200 cap on OpenAI API usage</t>
  </si>
  <si>
    <t>Existing SETA tenant — no additional licences</t>
  </si>
  <si>
    <t>Entra ID + Teams + Planner coverage already present</t>
  </si>
  <si>
    <t>Langfuse (self-hosted ECS) · CloudWatch · Sentry</t>
  </si>
  <si>
    <t>Self-hosted to avoid per-trace cost</t>
  </si>
  <si>
    <t>Buffer</t>
  </si>
  <si>
    <t>Decision type</t>
  </si>
  <si>
    <t>Approver</t>
  </si>
  <si>
    <t>Sprint scope / backlog prioritisation</t>
  </si>
  <si>
    <t>24 hours</t>
  </si>
  <si>
    <t>Architectural change on Core slice</t>
  </si>
  <si>
    <t>Budget variance</t>
  </si>
  <si>
    <t>48 hours</t>
  </si>
  <si>
    <t>1 week to convene and decide</t>
  </si>
  <si>
    <t>Measure</t>
  </si>
  <si>
    <t>AI capture recall (G4)</t>
  </si>
  <si>
    <t>Workaround displacement (G2)</t>
  </si>
  <si>
    <t>Chase-up reduction (G1)</t>
  </si>
  <si>
    <t>0% or negative — core value proposition not landing</t>
  </si>
  <si>
    <t>Leadership behaviour change (G3)</t>
  </si>
  <si>
    <t>Conversational AI correctness (G7)</t>
  </si>
  <si>
    <t>HITL acceptance rate (G6)</t>
  </si>
  <si>
    <t>Any team member reports overload in retro</t>
  </si>
  <si>
    <t>Two or more team members signal overload</t>
  </si>
  <si>
    <t>● At-risk</t>
  </si>
  <si>
    <t>Low MD</t>
  </si>
  <si>
    <t>High MD</t>
  </si>
  <si>
    <t>Midpoint MD</t>
  </si>
  <si>
    <t>Core AI Agent</t>
  </si>
  <si>
    <t>Planner (vertical)</t>
  </si>
  <si>
    <t>Builder capacity</t>
  </si>
  <si>
    <t>Effort rollup (MD) — source for chart</t>
  </si>
  <si>
    <t>Risk count by score</t>
  </si>
  <si>
    <t>Count</t>
  </si>
  <si>
    <t>Allocation % per track (chart source)</t>
  </si>
  <si>
    <t>Planner</t>
  </si>
  <si>
    <t>Core BE</t>
  </si>
  <si>
    <t>Core FE</t>
  </si>
  <si>
    <t>Core AI</t>
  </si>
  <si>
    <t>BA discovery</t>
  </si>
  <si>
    <t>Scrum M</t>
  </si>
  <si>
    <t>FS #1</t>
  </si>
  <si>
    <t>FS #2</t>
  </si>
  <si>
    <t>● Done / On-track</t>
  </si>
  <si>
    <t>● Blocked / H+</t>
  </si>
  <si>
    <t>Organisation Chart (visual)</t>
  </si>
  <si>
    <t>Sprint Velocity (chart source — populate as sprints complete)</t>
  </si>
  <si>
    <t>Planned SP</t>
  </si>
  <si>
    <t>Delivered SP</t>
  </si>
  <si>
    <t>Test Pyramid (chart source)</t>
  </si>
  <si>
    <t>% of Suite</t>
  </si>
  <si>
    <t>UAT</t>
  </si>
  <si>
    <t>DORA Targets (card grid)</t>
  </si>
  <si>
    <t>Deploy Frequency
Daily</t>
  </si>
  <si>
    <t>Lead Time for Change
&lt; 1 day</t>
  </si>
  <si>
    <t>Change Failure Rate
&lt; 15%</t>
  </si>
  <si>
    <t>MTTR
&lt; 1 hour</t>
  </si>
  <si>
    <t>Dependencies — due week (chart source)</t>
  </si>
  <si>
    <t>Dependency</t>
  </si>
  <si>
    <t>Due week</t>
  </si>
  <si>
    <t>D-01 MS Entra consent</t>
  </si>
  <si>
    <t>D-02 Graph perms</t>
  </si>
  <si>
    <t>D-03 AWS provisioned</t>
  </si>
  <si>
    <t>D-04 OpenAI key</t>
  </si>
  <si>
    <t>D-05 Langfuse target</t>
  </si>
  <si>
    <t>D-06 Designer window</t>
  </si>
  <si>
    <t>D-07 DE onboard decision</t>
  </si>
  <si>
    <t>D-09 VN holiday dates</t>
  </si>
  <si>
    <t>D-10 SBOM/SCA in CI</t>
  </si>
  <si>
    <t>D-11 Admin scope sign-off</t>
  </si>
  <si>
    <t>D-12 SES / DNS</t>
  </si>
  <si>
    <t>AI productivity impact (chart source)</t>
  </si>
  <si>
    <t>Dev — productivity ↑</t>
  </si>
  <si>
    <t>QA — manual effort ↓</t>
  </si>
  <si>
    <t>PM — early warning</t>
  </si>
  <si>
    <t>BA — discovery speed ↑</t>
  </si>
  <si>
    <t>Ops — MTTR ↓</t>
  </si>
  <si>
    <t>Client — pilot outcomes</t>
  </si>
  <si>
    <t>•  FS#1 (Planner FE + Core FE): ~37 working days × 1 FTE = 37 MD (S1 = 7 days after 3-day VN-holiday deduction; S2–S4 = 10 days each)</t>
  </si>
  <si>
    <t>•  FS#2 (Planner BE + Core BE): ~37 MD</t>
  </si>
  <si>
    <t>•  AI Engineer (Core AI + Planner Agent integration): ~37 MD</t>
  </si>
  <si>
    <t>•  Combined builder capacity: ~111 MD</t>
  </si>
  <si>
    <t>Recommendation: adopt (1) + (3) + aim for (4); confirm at Kickoff and capture as CRs if scope needs rebaselining. Note: WBS rows still list the full scope (W-A12 router S3–S4; W-P25/W-P26/W-P27 conversational AI S4); the Recommendation is applied by CR after Kickoff confirmation, not pre-baked into Block 1.</t>
  </si>
  <si>
    <t>Rows add to ~100% per role across all tracks. FS#1 and FS#2 allocations are illustrative — the actual per-feature ownership is decided at Kickoff; both devs cover their share of Planner + Core work end-to-end. The Data Engineer row shows a single 100% (contingent on W1 onboarding) split across Planner aggregated-views infrastructure (30%), Core BE data-feed work (10%), and BA-led legacy-systems data feeding (60%).</t>
  </si>
  <si>
    <t>Rollout</t>
  </si>
  <si>
    <t>NL orchestration</t>
  </si>
  <si>
    <t>NL query layer (end-to-end)</t>
  </si>
  <si>
    <t>NL-to-plan compiler (intent classification · sub-agent selection · argument binding · cost/row estimate) · multi-sub-agent fan-out with bounded concurrency · synthesizer that merges partial results into one cited answer · disambiguation loop when intent or scope is unclear · query-preview contract (plan shown to user before execution) · sits on top of the sub-agent runner (W-A07) · read-only in pilot</t>
  </si>
  <si>
    <t>End-to-end NL query round-trips: user question → plan preview → fan-out → synthesized cited answer. Baseline 30-query eval ≥ 80% first-attempt correctness across the initial sub-agent set. Disambiguation surfaces when router confidence low. Preview contract shown before any plan executes.</t>
  </si>
  <si>
    <t>Eval CI + router tuning + sub-agent catalogue expansion</t>
  </si>
  <si>
    <t>Eval dataset · CI regression gate · Langfuse eval wiring · expand sub-agent catalogue beyond Phase 1 baseline · tune router across broader query distribution</t>
  </si>
  <si>
    <t>Eval runs on every prompt change; regression blocks merge. Router correctness across expanded sub-agent catalogue ≥ 80% on the Phase 2 eval set.</t>
  </si>
  <si>
    <t>Capacity reconciliation (MD) — derivation for chart</t>
  </si>
  <si>
    <t>Allocation</t>
  </si>
  <si>
    <t>Weeks</t>
  </si>
  <si>
    <t>MD</t>
  </si>
  <si>
    <t>Subtotal: builders (gross)</t>
  </si>
  <si>
    <t xml:space="preserve">   less ceremonies + reviews + planning</t>
  </si>
  <si>
    <t xml:space="preserve">   less VN holidays (S1: -3 days × 3 builders)</t>
  </si>
  <si>
    <t>Builders net build-MD</t>
  </si>
  <si>
    <t>Contributing non-builder time (build-MD)</t>
  </si>
  <si>
    <t>Designer-Lead (named windows)</t>
  </si>
  <si>
    <t>PM hands-on build contribution</t>
  </si>
  <si>
    <t>Team capacity (nominal)</t>
  </si>
  <si>
    <t>AI-assisted velocity multiplier</t>
  </si>
  <si>
    <t xml:space="preserve">   AI-accelerable work (CRUD, UI, tests, docs)</t>
  </si>
  <si>
    <t>1.8×</t>
  </si>
  <si>
    <t xml:space="preserve">   Modestly AI-assisted (integrations, business logic)</t>
  </si>
  <si>
    <t>1.3×</t>
  </si>
  <si>
    <t xml:space="preserve">   Neutral/negative (arch, novel AI, deep debug)</t>
  </si>
  <si>
    <t>1.0×</t>
  </si>
  <si>
    <t>Weighted multiplier</t>
  </si>
  <si>
    <t>AI-ADJUSTED CAPACITY</t>
  </si>
  <si>
    <t>Demand vs capacity</t>
  </si>
  <si>
    <t xml:space="preserve">   Midpoint demand (sum of tracks)</t>
  </si>
  <si>
    <t xml:space="preserve">   Low-estimate demand</t>
  </si>
  <si>
    <t xml:space="preserve">   Gap at midpoint (vs AI-adjusted)</t>
  </si>
  <si>
    <t xml:space="preserve">   Gap at low estimate (vs AI-adjusted)</t>
  </si>
  <si>
    <t>Capacity over-commit. Midpoint WBS (~348 MD) vs AI-adjusted capacity (~174 MD) = ~2.0× gap at midpoint, ~1.5× at low-estimate. See 03-Scope Capacity Reconciliation block for derivation.</t>
  </si>
  <si>
    <t>Prioritise by Confidence: protect Confidence=H features, accept that some Confidence=L features (W-A12 NL query layer, W-P19 MS Planner sync, W-P26 Planner query executor) may slip into post-pilot. AI-assisted velocity (1.49× weighted) narrows but does not close the gap. Rebaseline via CR after S1 actuals land.</t>
  </si>
  <si>
    <t>~5.5 FTE team: 3 FTE builders (2 FS + 1 AI Eng) + 50% each of PM, SM, BA + borrowed Designer-Lead. DE contingent on onboarding. Nominal capacity ~117 MD; AI-adjusted ~174 MD (see 03-Scope Capacity Reconciliation).</t>
  </si>
  <si>
    <t>~2.0× over midpoint, ~1.5× over low-estimate after AI-velocity adjustment. Prioritise Confidence=H features; Confidence=L items are the release valve.</t>
  </si>
  <si>
    <t>R-01, R-02</t>
  </si>
  <si>
    <t>Mon 18 May 2026 (W4 day 9)</t>
  </si>
  <si>
    <t>Mon 15 Jun 2026 (W8 day 9)</t>
  </si>
  <si>
    <t>BA on Planner (Ly, MVP share, flexible)</t>
  </si>
  <si>
    <t>0 of 5 — stop-and-reconsider</t>
  </si>
  <si>
    <t>S1 subset: Button · Input · Card · Table · Dialog (core 5). S2 remainder: Textarea · Alert · Skeleton · Spinner · Drawer · DataTable · Dropdown · Select · Tabs · Tooltip · Badge</t>
  </si>
  <si>
    <t>Sprint 1 scope density. 7 working days (VN holiday) to land foundations across 3 tracks. Demand reduced to foundations-only; feature build starts S2. If S1 slips, M01 (Tue 05 May) slips rightward and compresses S2 for M02/M03.</t>
  </si>
  <si>
    <t>S1 scope explicitly trimmed on 03-Scope + 04-Timeline (magic link, pg-boss, email, storage, tool registry, Plans/Views/Personal Hubs, full UI library → all pushed to S2). Exit criterion narrowed to SSO + one Planner CRUD end-to-end + AI smoke + Langfuse. Daily standups W1–W2. PM monitors burn-down; rebaseline via CR if S1 slips.</t>
  </si>
  <si>
    <t>Named backup: FS#2 learns LLM client (W-A01) + prompt store (W-A02) surfaces by end W2; pair-programs W-A06 ToolGateway (most complex AI surface). Every AI architectural decision captured as an ADR in the repo before implementation (reviewed at sprint review). Weekly 1-hr AI tech-share with FS#1/#2 so mental model of the stack is not private. PM tracks ADR completeness as a sprint exit gate. If AI Eng out &gt;1 week during build, CR opens to rebaseline M02/M05 and consider external AI contractor for Phase 2 security work (W-A10/A11).</t>
  </si>
  <si>
    <t>R-04, R-05, R-08, R-09, R-11, R-12, R-15, R-17</t>
  </si>
  <si>
    <t>R-03, R-06, R-07, R-10, R-14, R-16</t>
  </si>
  <si>
    <t>AI Eng + PM + Sponsor</t>
  </si>
  <si>
    <t>Every conversational query passes through the same permissions engine as UI queries (NFR-04). AI generates structured queries permission-checked before execution. Penetration-style testing in pre-pilot W8 with deliberately adversarial queries. Handling during pilot governed by the defect severity policy on 09-ExecSupport Block 3b (first incident = P1 defect, kill-switch pause, fix-and-retest; 3+ incidents or class-level vulnerability = Steering Committee decision). Pre-pilot adversarial re-test must pass for M04 sign-off.</t>
  </si>
  <si>
    <t>Pilot team nomination (8 named users + participation agreements signed) — followed by baseline chase-up diary W6 (2 weeks of baseline data before pilot starts W9)</t>
  </si>
  <si>
    <t>Nomination at W4; baseline diary runs W6–W7; if nomination slips past W4, baseline compresses and G1 comparison (W1-baseline vs W4-pilot) loses statistical signal</t>
  </si>
  <si>
    <t>D-08 Pilot team nom. (W4)</t>
  </si>
  <si>
    <t>Pilot team nominated W4 (D-08 moved earlier) so baseline chase-up diary runs W6–W7 — 2 weeks of baseline for G1 comparison instead of 1. Ground-truth sample reduced from ~20 to ~12 meetings to fit BA capacity. Pilot Team Lead co-conducts IC interviews (peer rapport). PM covers BA capacity gaps. Allocation flexibility confirmed at Kickoff.</t>
  </si>
  <si>
    <t>Planned midpoint work ≈ 348 MD against capacity of ~117 MD nominal / ~174 MD AI-adjusted (1.49× weighted multiplier) ⇒ ~2.0× over at midpoint, ~1.5× over at low-estimate demand (260 MD). See Capacity Reconciliation block above for the full derivation. Resolution paths (the Recommendation below picks three):</t>
  </si>
  <si>
    <t>Designer-Lead (Mia/Darcy) weekly window confirmed in writing, per critical-surface schedule — plus named swap designer (Sponsor-identified backup) with warm-handoff document maintained by Mia/Darcy</t>
  </si>
  <si>
    <t>Tier A: FS#1 builds on @future/ui primitives without custom design (lower polish, functional parity). Tier B: Sponsor activates swap designer within 5 working days. Tier C: if unresolved by W4, explicit scope cut — HITL queue uses plain table, aggregated dashboards use plain cards, action detail minimal; post-pilot UX retrofit.</t>
  </si>
  <si>
    <t>Time commitment agreed in writing with named weekly windows per critical surface (HITL queue · aggregated dashboards · action detail). Tiered fallback: (A) FS#1 builds on @future/ui design-system primitives without custom design if designer unavailable for a sprint — automatic, no approval needed; (B) Sponsor-named swap designer identified at Kickoff with warm-handoff document maintained by Mia/Darcy so swap costs &lt;1 day of ramp-up; (C) if no designer available by W4 and no swap, PM opens CR to cut custom UX for HITL queue + dashboards (plain table + plain cards) and retrofit post-pilot. PM escalates to Sponsor at first missed window.</t>
  </si>
  <si>
    <t>HITL review queue UX · aggregated dashboards UX · action detail view UX · design-system adherence reviews. Fallback (tiered) per 08-Risks R-02: Tier A — FS#1 builds on @future/ui primitives if designer unavailable for a sprint; Tier B — Sponsor-named swap designer activates within 5 working days; Tier C — by W4 if unresolved, CR to cut custom UX and use plain tables/cards.</t>
  </si>
  <si>
    <t>Planned Date</t>
  </si>
  <si>
    <t>Wed 22 Apr 2026 (W1)</t>
  </si>
  <si>
    <t>Month</t>
  </si>
  <si>
    <t>Responsibility</t>
  </si>
  <si>
    <t>Canary collapse (&lt;50% success both tiers)</t>
  </si>
  <si>
    <t>Budget exhausted</t>
  </si>
  <si>
    <t>YES — 'Daily budget reached; try again after N.'</t>
  </si>
  <si>
    <t>SSE Event</t>
  </si>
  <si>
    <t>Fires when</t>
  </si>
  <si>
    <t>Payload highlights</t>
  </si>
  <si>
    <t>turn.started</t>
  </si>
  <si>
    <t>POST /agent/turn accepted</t>
  </si>
  <si>
    <t>phase.started</t>
  </si>
  <si>
    <t>Phase 1 or Phase 2 fan-out begins</t>
  </si>
  <si>
    <t>phase: 1 | 2, sub_agent_domains[]</t>
  </si>
  <si>
    <t>answer.shape_declared</t>
  </si>
  <si>
    <t>Synthesizer picks output shape (before first token)</t>
  </si>
  <si>
    <t>answer.token</t>
  </si>
  <si>
    <t>Each synthesizer token</t>
  </si>
  <si>
    <t>token, seq (monotonic turn-scoped)</t>
  </si>
  <si>
    <t>answer.complete</t>
  </si>
  <si>
    <t>Synthesizer done</t>
  </si>
  <si>
    <t>citations[], confidence, turn_end_reason</t>
  </si>
  <si>
    <t>draft.proposed</t>
  </si>
  <si>
    <t>Sub-agent proposes a write action requiring approval</t>
  </si>
  <si>
    <t>action_id, flow_id, provenance block (always present, all fields populated), taintSource if tainted</t>
  </si>
  <si>
    <t>turn.ended</t>
  </si>
  <si>
    <t>Turn complete or aborted</t>
  </si>
  <si>
    <t>reason: completed | budget | timeout | cancelled | error | refused | disambiguation</t>
  </si>
  <si>
    <t>Gate</t>
  </si>
  <si>
    <t>01 — Project Charter</t>
  </si>
  <si>
    <t>App Planner MVP · Internal Project · SETA · 22 Apr – 16 Jun 2026 (build) · Pilot from W9</t>
  </si>
  <si>
    <t>Block 1 — Project Identity</t>
  </si>
  <si>
    <t>Internal build · Non-billable · Cost-saving</t>
  </si>
  <si>
    <t>Build window</t>
  </si>
  <si>
    <t>Weeks 1–8: 22 Apr – 16 Jun 2026</t>
  </si>
  <si>
    <t>Pilot window</t>
  </si>
  <si>
    <t>Weeks 9–12: 17 Jun – 14 Jul 2026 (~20–30 users, 1 department + 1 project)</t>
  </si>
  <si>
    <t>Wave 1 onwards — post W12 gate decision (Steering Committee)</t>
  </si>
  <si>
    <t>Block 2 — Parties &amp; Governance</t>
  </si>
  <si>
    <t>Sponsor / Product Owner</t>
  </si>
  <si>
    <t>Hung Vu (CEO)</t>
  </si>
  <si>
    <t>Project owner · story acceptance at sprint review · scope veto · gate sign-off · kill-criteria evaluation</t>
  </si>
  <si>
    <t>Thu Mai (CTO)</t>
  </si>
  <si>
    <t>Platform architecture authority · Core-slice technical sign-off · AI Phase 1 &amp; 2 acceptance</t>
  </si>
  <si>
    <t>Pilot nomination · wave coordination · PMO gate review</t>
  </si>
  <si>
    <t>Project Manager</t>
  </si>
  <si>
    <t>Delivery accountability · backlog · prioritisation · stakeholder communication · escalation</t>
  </si>
  <si>
    <t>Business Analyst</t>
  </si>
  <si>
    <t>Requirements · user stories · UAT · pilot measurement · parallel legacy-system discovery</t>
  </si>
  <si>
    <t>Governance cadence</t>
  </si>
  <si>
    <t>BOD weekly sync (Sponsor + CTO + PMO + PM, 30 min) · Sprint review biweekly · Steering Committee monthly at gates W4 / W8 / W12</t>
  </si>
  <si>
    <t>Block 3 — Problem &amp; Solution</t>
  </si>
  <si>
    <t>Current pain</t>
  </si>
  <si>
    <t>SETA's ~400 staff make commitments constantly — in standups, ceremonies, client calls, account reviews, and leadership syncs — and those commitments live in Teams chats, personal notes, and people's heads.</t>
  </si>
  <si>
    <t>Five operational costs:</t>
  </si>
  <si>
    <t>1. The chase-up tax — managers spend a meaningful share of their week pinging team members about earlier commitments.</t>
  </si>
  <si>
    <t>2. No authoritative record — when a manager asks “what did we agree on last Thursday?” there is no single place to look.</t>
  </si>
  <si>
    <t>3. Completion without evidence — “Done” means the owner said so, which is insufficient for high-stakes commitments.</t>
  </si>
  <si>
    <t>4. Portfolio blindness — leadership cannot see in real time whether their area is healthy; status is compiled manually, stale by the time it is read.</t>
  </si>
  <si>
    <t>5. Strategic commitments evaporate — commitments made in leadership meetings carry the highest stakes and are the most likely to be forgotten.</t>
  </si>
  <si>
    <t>Future's Planner module captures commitments made in Microsoft Teams meetings, tracks them to completion with evidence, synchronises bidirectionally with Microsoft Planner, and surfaces aggregated health views at every level of SETA's org chart. The AI Agent reduces the chase-up tax through AI-with-human-oversight. Conversational AI gives every role a natural-language way to query action and meeting data.</t>
  </si>
  <si>
    <t>Measure &amp; Target</t>
  </si>
  <si>
    <t>≥25% reduction in chase-up minutes (W1 baseline vs W4 pilot); &lt;1/3 of ICs report nudges unnecessary</t>
  </si>
  <si>
    <t>&lt;33% of pilot users still keeping side-records</t>
  </si>
  <si>
    <t>≥3 of 5 leaders answer yes concretely to: saw it, acted on it, would miss it</t>
  </si>
  <si>
    <t>AI recall ≥70%; reviewer acceptance ≥70%</t>
  </si>
  <si>
    <t>CTO architectural-review pass on interface fitness</t>
  </si>
  <si>
    <t>Acceptance ≥70% · median review latency ≤24h · reusable pattern confirmed</t>
  </si>
  <si>
    <t>≥80% first-attempt correctness on sampled queries; zero permission-leak incidents; ≥50% of pilot users tried and find useful</t>
  </si>
  <si>
    <t>Block 5 — Milestones &amp; Acceptance Gates</t>
  </si>
  <si>
    <t>Each gate requires sign-off from the roles shown. Actual date and sign-off name recorded here when complete.</t>
  </si>
  <si>
    <t>Actual Date</t>
  </si>
  <si>
    <t>Weight</t>
  </si>
  <si>
    <t>Sponsor approval of Project Plan v1.0 recorded on this sheet</t>
  </si>
  <si>
    <t>Platform live in staging</t>
  </si>
  <si>
    <t>Sign-in works; action created end-to-end; audit log visible; AI returns test response</t>
  </si>
  <si>
    <t>AI Phase 1 complete</t>
  </si>
  <si>
    <t>Phase 1 exit-criteria suite green; confidence scoring and HITL routing verified by CTO</t>
  </si>
  <si>
    <t>First working version demo</t>
  </si>
  <si>
    <t>Internal demo passes; no critical bugs; ≥70% test coverage</t>
  </si>
  <si>
    <t>AI Phase 2 complete</t>
  </si>
  <si>
    <t>Zero permission-leak incidents in adversarial test; ≥80% first-attempt correctness; CTO signs off</t>
  </si>
  <si>
    <t>MVP Pilot-ready — highest-weight gate</t>
  </si>
  <si>
    <t>All pre-pilot gate criteria green; sponsor go/no-go recorded</t>
  </si>
  <si>
    <t>Kill-criteria evaluated; Committee records: Proceed / Pause-and-tune / Pivot / Stop</t>
  </si>
  <si>
    <t>4-week stable-operation report; next Future module scoped</t>
  </si>
  <si>
    <t>Total weight:</t>
  </si>
  <si>
    <t>Block 6 — Budget</t>
  </si>
  <si>
    <t>No dollar project budget. All investment is in team time plus approved tools and infrastructure under existing SETA accounts.</t>
  </si>
  <si>
    <t>2× Full-Stack Dev (100%) · 1× AI Engineer (100%) · 50% each of PM, SM, BA · borrowed Designer-Lead (part-time) · 1× Data Engineer (contingent)</t>
  </si>
  <si>
    <t>8-week build + 4-week pilot + phased rollout</t>
  </si>
  <si>
    <t>1× Claude Max x20 shared subscription (PM-held)</t>
  </si>
  <si>
    <t>Code generation, test generation, design drafting, documentation, prompt development</t>
  </si>
  <si>
    <t>Circuit-breaker enforced in Core AI. Conversational AI is paused automatically if the cap is exceeded.</t>
  </si>
  <si>
    <t>AWS ap-southeast-1 (ECS Fargate, ECR, Secrets Manager, RDS, S3, CloudFront, WAF, ALB)</t>
  </si>
  <si>
    <t>Under existing SETA AWS account</t>
  </si>
  <si>
    <t>Microsoft 365</t>
  </si>
  <si>
    <t>Scope is the budget buffer — no monetary contingency line</t>
  </si>
  <si>
    <t>10–15% time buffer absorbed into effort ranges on 02-Scope</t>
  </si>
  <si>
    <t>Excluded:</t>
  </si>
  <si>
    <t>No external professional services · no external penetration test during build (post-pilot pre-Wave 1) · no commercial licences (Datadog, Figma upgrade) · no dedicated training contractor</t>
  </si>
  <si>
    <t>Tracking cadence:</t>
  </si>
  <si>
    <t>Weekly BOD sync reviews: OpenAI API spend vs cap · builder days consumed vs planned · any CR-driven budget change requests</t>
  </si>
  <si>
    <t>Block 7 — Decision Authority &amp; Escalation</t>
  </si>
  <si>
    <t>At sprint review + 24h grace for async follow-up</t>
  </si>
  <si>
    <t>Tech Lead + CTO</t>
  </si>
  <si>
    <t>Scope change (small CR)</t>
  </si>
  <si>
    <t>Scope change (material CR)</t>
  </si>
  <si>
    <t>CCB: Sponsor + CTO + PMO</t>
  </si>
  <si>
    <t>5 business days</t>
  </si>
  <si>
    <t>Kill-criteria triggered</t>
  </si>
  <si>
    <t>Team-level blocker (L1)</t>
  </si>
  <si>
    <t>Track lead + SM</t>
  </si>
  <si>
    <t>Multi-team / delay &gt;3 days (L2)</t>
  </si>
  <si>
    <t>PM → Sponsor</t>
  </si>
  <si>
    <t>PM escalates within 48 hours</t>
  </si>
  <si>
    <t>Critical risk / scope breach (L3)</t>
  </si>
  <si>
    <t>1 week</t>
  </si>
  <si>
    <t>Block 8 — Kill Criteria</t>
  </si>
  <si>
    <t>Thresholds evaluated at Pilot-to-Wave gate (M06) and during the pilot. Require Steering Committee endorsement before pilot begins.</t>
  </si>
  <si>
    <t>Pause-and-tune</t>
  </si>
  <si>
    <t>Stop-and-reconsider</t>
  </si>
  <si>
    <t>&lt;60% — 4 weeks of prompt tuning before continuing</t>
  </si>
  <si>
    <t>&lt;40% — fundamentally reconsider the Agent approach</t>
  </si>
  <si>
    <t>≥50% of pilot users still keeping side-records</t>
  </si>
  <si>
    <t>≥75% — product is parallel, not primary</t>
  </si>
  <si>
    <t>&lt;20% reduction vs baseline</t>
  </si>
  <si>
    <t>≤1 of 5 leaders answered yes to all three</t>
  </si>
  <si>
    <t>&lt;70% first-attempt correctness — 2 weeks prompt tuning</t>
  </si>
  <si>
    <t>&lt;50% — revert to read-only deterministic queries</t>
  </si>
  <si>
    <t>&lt;50% acceptance</t>
  </si>
  <si>
    <t>&lt;30% — proposal quality not salvageable near term</t>
  </si>
  <si>
    <t>Team health</t>
  </si>
  <si>
    <t>AI API budget overrun</t>
  </si>
  <si>
    <t>Spend &gt;150% of $200 cap</t>
  </si>
  <si>
    <t>Spend &gt;250% of cap without justified scope expansion</t>
  </si>
  <si>
    <t>Block 9 — Legal &amp; Compliance</t>
  </si>
  <si>
    <t>NDA</t>
  </si>
  <si>
    <t>Data protection &amp; privacy (GDPR / VN Decree 13/2023)</t>
  </si>
  <si>
    <t>Apply SETA internal Data Protection Policy; align with VN Decree 13/2023</t>
  </si>
  <si>
    <t>IP ownership</t>
  </si>
  <si>
    <t>SETA-owned across all codebases; OSS dependencies tracked in auto-generated SBOM</t>
  </si>
  <si>
    <t>Vendor data-processing disclosure (OpenAI)</t>
  </si>
  <si>
    <t>Approval of this charter acknowledges that action content and transcript excerpts are transmitted to OpenAI under SETA vendor and data policies</t>
  </si>
  <si>
    <t>Regulatory notes:</t>
  </si>
  <si>
    <t>Authentication: Microsoft 365 SSO via Entra ID exclusively · No audio stored · Teams handles meeting consent natively · Data residency: AWS ap-southeast-1 only · AI-originated actions are distinguishable in the audit log · All admin cross-hierarchy reads are logged with a stated reason</t>
  </si>
  <si>
    <t>03 — Project Approach</t>
  </si>
  <si>
    <t>App Planner MVP · SDLC · QA · CI/CD · Technical Stack · AI Approach · Definition of Success</t>
  </si>
  <si>
    <t>Block 1 — Methodology &amp; SDLC Governance</t>
  </si>
  <si>
    <t>Block 2 — KPI Tracking Dashboard</t>
  </si>
  <si>
    <t>Block 3 — Technical Approach</t>
  </si>
  <si>
    <t>Block 4 — QA Approach</t>
  </si>
  <si>
    <t>Block 5 — CI/CD Approach</t>
  </si>
  <si>
    <t>Block 6 — AI Approach — The Differentiator</t>
  </si>
  <si>
    <t>Block 7 — Definition of Success</t>
  </si>
  <si>
    <t>Future — Planner MVP · Project Plan</t>
  </si>
  <si>
    <t>SETA · Internal Project · 22 Apr – 16 Jun 2026 (build) · Pilot from W9</t>
  </si>
  <si>
    <t>Tab Name</t>
  </si>
  <si>
    <t>What’s in it</t>
  </si>
  <si>
    <t>Charter</t>
  </si>
  <si>
    <t>01-Charter</t>
  </si>
  <si>
    <t>Problem · Solution · SMART Objectives · Parties · Milestones + Acceptance Weights · Budget · Decision SLA · Kill Criteria · Legal checklist</t>
  </si>
  <si>
    <t>02-Scope</t>
  </si>
  <si>
    <t>WBS · In / Out of scope · Capacity reconciliation · Change request process</t>
  </si>
  <si>
    <t>Approach</t>
  </si>
  <si>
    <t>03-Approach</t>
  </si>
  <si>
    <t>04-Timeline</t>
  </si>
  <si>
    <t>Master plan · Milestones · Sprint calendar · Holiday calendar</t>
  </si>
  <si>
    <t>05-DCA</t>
  </si>
  <si>
    <t>External dependencies + due dates · Project constraints · Assumptions</t>
  </si>
  <si>
    <t>Resources &amp; RACI</t>
  </si>
  <si>
    <t>06-RACI</t>
  </si>
  <si>
    <t>Allocation % per track · RACI matrix</t>
  </si>
  <si>
    <t>Risks &amp; Issues</t>
  </si>
  <si>
    <t>07-Risks</t>
  </si>
  <si>
    <t>Track-CoreAIAgent</t>
  </si>
  <si>
    <t>•  Start with 01-Charter for the full project agreement, objectives, milestones, and budget.</t>
  </si>
  <si>
    <t>•  Use 04-Timeline for dates and sprint plan.</t>
  </si>
  <si>
    <t>YES — 'Service temporarily unavailable.'</t>
  </si>
  <si>
    <t>9.7  Streaming + Cancellation Contract (SSE Events)</t>
  </si>
  <si>
    <t>trace_id, tenant_id, surface; identity keys set by middleware only</t>
  </si>
  <si>
    <t>shape: short-answer | list | table | narrative | chart. Shape locked after this event.</t>
  </si>
  <si>
    <t>SDLC · KPI dashboard · Technical stack · QA approach · CI/CD · AI differentiator · Definition of Success · Track DoD · AI Agent Architecture &amp; Module Catalogue (Block 9)</t>
  </si>
  <si>
    <t>Risk register · Heat map · Issues log · Response process · Track-specific risks (Block 4)</t>
  </si>
  <si>
    <t>Sprint deliverables · Acceptance criteria · Review meetings · M1 &amp; M2 gate records · Technical decisions log (Block 12)</t>
  </si>
  <si>
    <t>•  Use 02-Scope for what is and isn’t being built (all tracks: W-B, W-F, W-A, W-P rows).</t>
  </si>
  <si>
    <t>•  Use 03-Approach for how the team works, quality gates, technical stack, AI architecture, and track Definitions of Done.</t>
  </si>
  <si>
    <t>•  Use 07-Risks for all risks including track-specific items.</t>
  </si>
  <si>
    <t>•  Use 10-Commitments for sprint-by-sprint deliverables, acceptance sign-off records, and technical decisions.</t>
  </si>
  <si>
    <t>04 — Timeline</t>
  </si>
  <si>
    <t>App Planner MVP · 22 Apr – 16 Jun 2026 (build) · Pilot from 17 Jun</t>
  </si>
  <si>
    <t>Month 1 ends 19 May (W4). Month 2 ends 16 Jun (W8). Each column answers: what is live and demoable for a real user on that date.</t>
  </si>
  <si>
    <t>Area</t>
  </si>
  <si>
    <t>Sign-in</t>
  </si>
  <si>
    <t>Leadership dashboards</t>
  </si>
  <si>
    <t>Executive digest</t>
  </si>
  <si>
    <t>Block 2 — Milestones</t>
  </si>
  <si>
    <t>Each gate requires sign-off from Sponsor (CEO), CTO, and PMO. Outcome recorded in 01-Charter Block 5.</t>
  </si>
  <si>
    <t>What gets signed off</t>
  </si>
  <si>
    <t>M1</t>
  </si>
  <si>
    <t>Project plan signed; all leads confirmed; open questions logged</t>
  </si>
  <si>
    <t>Foundations ready</t>
  </si>
  <si>
    <t>Users can sign in; platform runs in staging; one action flow works end-to-end</t>
  </si>
  <si>
    <t>AI can read a meeting and propose actions for human review</t>
  </si>
  <si>
    <t>Full internal demo: action management, views, personal hub, HITL queue, admin controls</t>
  </si>
  <si>
    <t>M2</t>
  </si>
  <si>
    <t>AI security hardened: injection defence, cost controls, expanded capabilities verified</t>
  </si>
  <si>
    <t>All features live; MS Planner sync; conversational AI; executive digest; pilot instruments ready</t>
  </si>
  <si>
    <t>Outcome measures reviewed; kill-criteria check; Steering Committee go/no-go</t>
  </si>
  <si>
    <t>Block 3 — Sprint Goals &amp; Exit Criteria</t>
  </si>
  <si>
    <t>Sprint 1 = 7 working days (3 VN holidays: 27 Apr, 30 Apr, 1 May). Sprints 2–4 = 10 working days each.</t>
  </si>
  <si>
    <t>Dates</t>
  </si>
  <si>
    <t>Gates</t>
  </si>
  <si>
    <t>22 Apr – 05 May</t>
  </si>
  <si>
    <t>Platform live in staging. Users can sign in and create actions.</t>
  </si>
  <si>
    <t>A tester signs in via SSO, creates an action, sees it audit-logged. LLM smoke prompt returns with Langfuse trace.</t>
  </si>
  <si>
    <t>M00, M01</t>
  </si>
  <si>
    <t>06 May – 19 May</t>
  </si>
  <si>
    <t>First Working Version demoable. AI reads meetings and proposes actions for review.</t>
  </si>
  <si>
    <t>Internal demo passes: action views, personal hub, HITL queue, AI proposals from transcript, admin controls. Test coverage ≥70%.</t>
  </si>
  <si>
    <t>M02, M03</t>
  </si>
  <si>
    <t>20 May – 02 Jun</t>
  </si>
  <si>
    <t>Leadership dashboards live. MS Planner push sync working. AI security hardened (Phase 2 begins).</t>
  </si>
  <si>
    <t>Aggregated views load for all pilot roles. MS Planner push round-trip ≤5 min. Injection-defence test suite passing.</t>
  </si>
  <si>
    <t>(M05 prep)</t>
  </si>
  <si>
    <t>03 Jun – 16 Jun</t>
  </si>
  <si>
    <t>Full MVP ready. Conversational AI, executive digest, cost controls, pilot instruments complete.</t>
  </si>
  <si>
    <t>All features green. Zero permission-leak incidents in penetration test. Pre-pilot rehearsal ≥95% pass. Sponsor records go/no-go.</t>
  </si>
  <si>
    <t>M05, M04</t>
  </si>
  <si>
    <t>17 Jun – 14 Jul</t>
  </si>
  <si>
    <t>~20–30 pilot users live. Outcome measures collected.</t>
  </si>
  <si>
    <t>Kill-criteria review clean. Steering Committee records go/no-go for Wave 1 rollout.</t>
  </si>
  <si>
    <t>Block 4 — VN Public Holidays (affecting capacity)</t>
  </si>
  <si>
    <t>Hung Kings Commemoration</t>
  </si>
  <si>
    <t>Net impact: Sprint 1 = 7 working days per person (not 10). Confirm bridge days with HR at Kickoff.</t>
  </si>
  <si>
    <t>Screens / Entry Points</t>
  </si>
  <si>
    <t>Month 1 — live 19 May 2026</t>
  </si>
  <si>
    <t>Month 2 additions — live 16 Jun 2026</t>
  </si>
  <si>
    <t>Login / SSO landing page
Microsoft OAuth consent screen
Post-login app home</t>
  </si>
  <si>
    <t>My Day panel
My Plans list
My Tasks list
Carry-over indicator</t>
  </si>
  <si>
    <t>Meetings list page
Meeting detail + transcript viewer
Extract-with-AI button
Human review queue
Proposal detail card</t>
  </si>
  <si>
    <t>Admin sync settings page
Sync status indicator (per plan)
Conflict resolution log</t>
  </si>
  <si>
    <t>Escalation queue (manager view)
Escalation approval card
Escalation audit log</t>
  </si>
  <si>
    <t>Admin control panel
AI settings page
Usage &amp; cost dashboard
Audit &amp; retention settings</t>
  </si>
  <si>
    <t>Not live in Month 1</t>
  </si>
  <si>
    <t>Core Platform
(Backend + Frontend foundation)</t>
  </si>
  <si>
    <t>No user-facing screen
Dev + staging environments
CI/CD pipeline dashboard
Deployment logs</t>
  </si>
  <si>
    <t>Monorepo structure established (backend + frontend in single repo)
Shared component library: buttons, forms, tables, modals, dialogs
Design system and colour tokens applied globally
Backend: NestJS API with domain-driven structure, modular bounded contexts
Database: PostgreSQL with migration system; per-tenant schema isolation
Authentication: Microsoft SSO integrated end-to-end
CI/CD: automated build, lint, test, and deploy to staging on every merge
Automated rollback: triggered on failed deploy, recovery within 15 min
Secrets management and environment config in place
Dev and staging environments both fully operational
Audit logging infrastructure: every state change written to immutable log</t>
  </si>
  <si>
    <t>Production environment provisioned and hardened
Load test completed: system handles 2x expected pilot traffic
Backup and restore drilled: restore time verified and approved by CTO
Performance benchmarks visible on monitoring dashboard
All security configurations reviewed and signed off
Release runbook written, exercised, and CTO-approved</t>
  </si>
  <si>
    <t>Sign in with Microsoft account (SSO)
Land on app home after first login
Session persists across tabs
Logout and re-auth flow works
No AI involved</t>
  </si>
  <si>
    <t>Production-hardened: rate limits, token refresh
Audit entry created on every sign-in event</t>
  </si>
  <si>
    <t>My Day: actions due today plus overdue carry-overs
My Plans: plans where I am owner or member, with completion %
My Tasks: all actions assigned to me across all plans
Carry-over badge: actions rolled from previous days
Quick-complete from dashboard without opening action
No AI in Month 1</t>
  </si>
  <si>
    <t>AI (Month 2): AI surfaces at-risk actions on My Day based on deadline proximity and owner workload
At-risk flag is a suggestion only — user decides whether to act</t>
  </si>
  <si>
    <t>Meeting transcript
extracting (AI)</t>
  </si>
  <si>
    <t>Conversational AI
(predefined tools)</t>
  </si>
  <si>
    <t>Chat / query bar (persistent, bottom of screen)
Intent preview card
Predefined query menu</t>
  </si>
  <si>
    <t>Team Health view (manager)
Manager drill-down view
PMO portfolio view
Account view
Role-based navigation</t>
  </si>
  <si>
    <t>Not live in Month 1
Data and permissions foundation built in Month 1</t>
  </si>
  <si>
    <t>Team Health: completion rate, overdue %, blockers by team
Manager drill-down: select any direct report, see their My Day and action list
PMO portfolio: all plans with RAG status, milestone progress, open risks
Account view: cross-plan summary for named account or client
All views respect reporting hierarchy
Permission boundary: managers see own team only; PMO sees all
AI: AI-generated RAG plain-language summary per plan — labelled as AI-generated
AI: Portfolio Analyser sub-agent aggregates KPIs across plans
AI output is advisory — human reviews before dashboard is shared</t>
  </si>
  <si>
    <t>Trigger: action overdue by X days (threshold set by admin, default 3 days)
AI (Escalation Drafter sub-agent) drafts escalation message:
  - Who is overdue and by how long
  - What the action is
  - Suggested next step
Message appears in Escalation Queue for the action owner's manager
Manager: Approve, Edit &amp; Approve, or Dismiss
Approved messages sent as in-app notification
Escalation logged in audit trail with approver name and timestamp
Human-in-the-loop mandatory: AI cannot send without approval
Prompt tone guide: professional, concise, factual
Anomaly detector flags unusual escalation volume</t>
  </si>
  <si>
    <t>Weekly digest email (received in inbox)
Digest preferences page (admin)
Digest audit log</t>
  </si>
  <si>
    <t>Weekly email to named executives (recipient list set by admin)
Contents: plan health RAG, top 3 overdue actions, open risks, milestone progress
Sent every Monday 08:00 (timezone per org setting)
Mobile-friendly HTML email
Dry-run: Sponsor approves first digest before live send
Unsubscribe / pause option per recipient
AI (Digest Composer sub-agent): pulls plan data and risk register, writes plain-language summary
Prompt enforces executive tone: no jargon, max 300 words, 3 bullets max per section
Cost ceiling enforced per digest generation</t>
  </si>
  <si>
    <t>Admin controls
&amp; AI governance</t>
  </si>
  <si>
    <t>AI on/off kill switch: stops all AI calls within 1 minute
Scope config: which data AI may access
Rate limits: max AI calls per user per day
Planner admin: designate sync plans
All admin actions logged in immutable audit trail</t>
  </si>
  <si>
    <t>Live AI cost dashboard: spend per org, per day, per feature
Daily budget cap: AI calls blocked when budget exceeded
Anomaly detection: unusual usage pattern triggers automatic pause and admin alert
Data retention policy: set per org (default: indefinite)
Admin hard-delete: remove any record with mandatory reason
All AI calls fully traceable: prompt ID, model, tokens used, latency, user, outcome
AI Cost Ceiling Enforcer: tracks token usage in real time, blocks at budget limit
Automatic pause: no human needed to halt runaway AI usage</t>
  </si>
  <si>
    <t>Meetings list page and transcript viewer live
Upload or paste a meeting transcript
Transcript stored and viewable
Extract-with-AI button active
AI (NL Orchestrator + Action Extractor sub-agent) reads the transcript and returns proposed actions:
  - Suggested title
  - Suggested owner (matched to team member names in transcript)
  - Suggested deadline (extracted from text)
  - Confidence score: High / Medium / Low
Proposals appear in Human Review Queue
Reviewer: Accept, Edit &amp; Accept, or Reject
Rejected proposals logged with reason
Proposals auto-expire after 7 days
SSE streaming: reviewer sees proposals appear as AI processes
Expanded router handles broader meeting types (retros, 1:1s, client sessions)
Injection-attack defence active on all transcript input
Cost ceiling enforced per extraction call
AI confidence threshold tunable by admin from pilot feedback
Bulk-reject entire batch from queue</t>
  </si>
  <si>
    <t>User types any plain-language question about their plans and actions
AI agent (NL Orchestrator) interprets the intent and routes it to the appropriate registered tool:
  - Action query tool: filter/aggregate actions by owner, plan, status, date
  - Plan summary tool: completion rate, overdue count, blockers per plan
  - People workload tool: action count and capacity per team member
  - Risk lookup tool: open risks for a given plan
All tools are predefined MCP-registered services and internal APIs — the agent cannot call anything outside the tool registry
Intent preview card shown before result displays: user confirms before agent fetches data
Read-only: agent cannot create, edit, or delete anything
Permission gateway: results scoped to what the user is authorised to see
SSE streaming: results appear as they arrive</t>
  </si>
  <si>
    <t>Expanded tool registry
New tools added to the agent's permitted call list (all query the app's own database — no direct MS 365 or external API calls):
  - Cross-plan aggregation: query actions and KPIs across all plans the user has access to
  - Calendar availability: check team member availability based on synced calendar data
  - Historical trend tool: query completion rates and overdue patterns over time
  - External reporting read: pull pre-synced KPIs from connected business systems stored in DB
Security hardening
Injection-attack defence: all natural-language input sanitised before reaching the agent
Tool boundary enforcement: agent is blocked from calling any tool not in the registry, even if prompted to
Every agent call logged: user, intent, tool called, input parameters, result hash, latency
Governance and control
Disambiguation prompt: when the agent cannot confidently map intent to a tool, it asks the user to clarify before proceeding
Cost ceiling per call: agent call blocked if org daily budget is exceeded
Router eval CI gate: any new tool added to the registry must pass an automated accuracy benchmark (&gt;=80%) before going live
Improved user experience
Short-term memory: agent holds context across follow-up questions within the same session (e.g. "filter those by owner" after a previous query)
Query history: last 20 queries saved per user session
Agent explains what tool it called and why, so the user understands the result</t>
  </si>
  <si>
    <t>Admin designates which MS Planner plans are linked
Push sync: action created in App Planner appears in MS Planner within 5 minutes
Pull sync: change made in MS Planner reflected in App Planner within 5 minutes
Deleted in MS Planner: marked Cancelled in App Planner (not hard-deleted)
Full round-trip verified: push + pull complete within 5 minutes
Conflict rule: App Planner wins on field conflicts (configurable)
Sync log: last 50 sync events visible to admin
Anomaly detector flags unusual sync volume
No AI — rule-based sync</t>
  </si>
  <si>
    <t>Same — stable and performance-tested at pilot scale</t>
  </si>
  <si>
    <t>Personal Hubs
(W-P08)</t>
  </si>
  <si>
    <t>Action management
&amp; views
(W-P03, W-P07)</t>
  </si>
  <si>
    <t>Action detail page
Create action modal
Edit / Comment sidebar
Audit log panel
Board view (Kanban)
Grid view (sortable table)
Schedule view (calendar strip)
Charts view (summary charts)
View switcher (top bar)</t>
  </si>
  <si>
    <t>Create action: title, description, priority (High/Med/Low), deadline, owner, labels
Assign to any team member
Edit, complete, delete, reopen
Add evidence files or links
Comment thread with @mention
Audit log: who changed what, when (immutable)
Board: drag cards between To Do / In Progress / Done / Blocked
Grid: sort by deadline, priority, owner; inline edit
Schedule: actions plotted on week/month timeline
Charts: completion rate, overdue count, owner workload bar
Filter: by owner, plan, label, priority, date range
Group by: owner, plan, label
Personal scope toggle (see only my actions)
No AI in Month 1</t>
  </si>
  <si>
    <t>Admin hard-delete with mandatory reason field
Retention policy enforced per org
Audit log searchable by date, user, action type
AI (Month 2): when an action is created from a meeting extraction, AI pre-fills title, suggested owner, and suggested deadline — human confirms before saving
Same views, performance-tested at pilot scale
Charts data feeds AI-generated plan health summaries in leadership dashboards</t>
  </si>
  <si>
    <t>Microsoft Planner
bidirectional sync
(W-P19)</t>
  </si>
  <si>
    <t>Block 1 — Release Plan</t>
  </si>
  <si>
    <t>04b — Gantt Chart Overview</t>
  </si>
  <si>
    <t>Deliverable</t>
  </si>
  <si>
    <t>Start</t>
  </si>
  <si>
    <t>End</t>
  </si>
  <si>
    <t>Days</t>
  </si>
  <si>
    <t>App</t>
  </si>
  <si>
    <t>Docs</t>
  </si>
  <si>
    <t>Legend</t>
  </si>
  <si>
    <t>Milestones</t>
  </si>
  <si>
    <t>Offset</t>
  </si>
  <si>
    <t>App Planner MVP · Month 1 ends 20 May 2026 · Month 2 ends 20 Jun 2026</t>
  </si>
  <si>
    <t>Month 1</t>
  </si>
  <si>
    <t>Month 2</t>
  </si>
  <si>
    <t>▲ 20 May 2026 — Month 1 cutoff (Planner UI/UX, 3 views, Analysis charts, AI Agent MCP, Docs V1)</t>
  </si>
  <si>
    <t>▲ 20 Jun 2026 — Month 2 cutoff (AI transcript, R&amp;D AI-on-DB, UI/UX v2, Docs V2)</t>
  </si>
  <si>
    <t>[App] Core monorepo foundation (BE + FE scaffolding)</t>
  </si>
  <si>
    <t>[App] Core platform: SSO, DB schema, shared libs</t>
  </si>
  <si>
    <t>[App] Full Planner UI/UX (My Task, My Tasks, My Plans)</t>
  </si>
  <si>
    <t>[App] Board / Grid / Schedule views</t>
  </si>
  <si>
    <t>[App] Analysis screens with charts</t>
  </si>
  <si>
    <t>[AI] Agent querying Planner via predefined MCP/tools</t>
  </si>
  <si>
    <t>[Docs] Full SDLC flow docs with Planner examples</t>
  </si>
  <si>
    <t>[Docs] Flows split by employee level &amp; new/existing systems</t>
  </si>
  <si>
    <t>[AI] Meeting transcript → task extraction</t>
  </si>
  <si>
    <t>[AI] R&amp;D: AI querying data directly from DB (ad-hoc tasks)</t>
  </si>
  <si>
    <t>[App] UI/UX improvements &amp; Month 1 feedback</t>
  </si>
  <si>
    <t>[Docs] V2 — iterate on V1</t>
  </si>
  <si>
    <t>X (date)</t>
  </si>
  <si>
    <t>Y</t>
  </si>
  <si>
    <t>Today</t>
  </si>
  <si>
    <t>Demo M1</t>
  </si>
  <si>
    <t>Demo 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</si>
</sst>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
    <numFmt numFmtId="165" formatCode="0.00&quot;×&quot;"/>
    <numFmt numFmtId="166" formatCode="dd/mm/yyyy"/>
  </numFmts>
  <fonts count="31" x14ac:knownFonts="1">
    <font>
      <sz val="11"/>
      <color theme="1"/>
      <name val="Calibri"/>
      <family val="2"/>
      <scheme val="minor"/>
    </font>
    <font>
      <b/>
      <sz val="18"/>
      <color rgb="FF1F2937"/>
      <name val="Calibri"/>
      <family val="2"/>
    </font>
    <font>
      <i/>
      <sz val="11"/>
      <color rgb="FF713F12"/>
      <name val="Calibri"/>
      <family val="2"/>
    </font>
    <font>
      <b/>
      <sz val="14"/>
      <color rgb="FF1F4E8A"/>
      <name val="Calibri"/>
      <family val="2"/>
    </font>
    <font>
      <b/>
      <sz val="11"/>
      <color rgb="FFFFFFFF"/>
      <name val="Calibri"/>
      <family val="2"/>
    </font>
    <font>
      <b/>
      <sz val="12"/>
      <color rgb="FF334155"/>
      <name val="Calibri"/>
      <family val="2"/>
    </font>
    <font>
      <sz val="10"/>
      <name val="Menlo"/>
      <family val="2"/>
    </font>
    <font>
      <u/>
      <sz val="11"/>
      <color theme="10"/>
      <name val="Calibri"/>
      <family val="2"/>
      <scheme val="minor"/>
    </font>
    <font>
      <b/>
      <sz val="11"/>
      <color rgb="FFFFFFFF"/>
      <name val="Calibri"/>
      <family val="2"/>
      <scheme val="minor"/>
    </font>
    <font>
      <i/>
      <sz val="11"/>
      <color theme="1"/>
      <name val="Calibri"/>
      <family val="2"/>
      <scheme val="minor"/>
    </font>
    <font>
      <i/>
      <sz val="11"/>
      <color rgb="FF6B7280"/>
      <name val="Calibri"/>
      <family val="2"/>
      <scheme val="minor"/>
    </font>
    <font>
      <b/>
      <sz val="10"/>
      <color rgb="FFDC2626"/>
      <name val="Calibri"/>
      <family val="2"/>
      <scheme val="minor"/>
    </font>
    <font>
      <b/>
      <sz val="11"/>
      <color theme="1"/>
      <name val="Calibri"/>
      <family val="2"/>
      <scheme val="minor"/>
    </font>
    <font>
      <b/>
      <sz val="11"/>
      <color rgb="FF92400E"/>
      <name val="Calibri"/>
      <family val="2"/>
      <scheme val="minor"/>
    </font>
    <font>
      <b/>
      <sz val="11"/>
      <color rgb="FF991B1B"/>
      <name val="Calibri"/>
      <family val="2"/>
      <scheme val="minor"/>
    </font>
    <font>
      <b/>
      <sz val="11"/>
      <color rgb="FF166534"/>
      <name val="Calibri"/>
      <family val="2"/>
      <scheme val="minor"/>
    </font>
    <font>
      <b/>
      <sz val="11"/>
      <color rgb="FF7F1D1D"/>
      <name val="Calibri"/>
      <family val="2"/>
      <scheme val="minor"/>
    </font>
    <font>
      <b/>
      <sz val="11"/>
      <color rgb="FF000000"/>
      <name val="Calibri"/>
      <family val="2"/>
      <scheme val="minor"/>
    </font>
    <font>
      <b/>
      <sz val="10"/>
      <color rgb="FFA36B00"/>
      <name val="Calibri"/>
      <family val="2"/>
      <scheme val="minor"/>
    </font>
    <font>
      <b/>
      <sz val="10"/>
      <color rgb="FF00891D"/>
      <name val="Calibri"/>
      <family val="2"/>
      <scheme val="minor"/>
    </font>
    <font>
      <b/>
      <i/>
      <sz val="11"/>
      <color theme="1"/>
      <name val="Calibri"/>
      <family val="2"/>
      <scheme val="minor"/>
    </font>
    <font>
      <sz val="10"/>
      <color rgb="FF000000"/>
      <name val="Tahoma"/>
      <family val="2"/>
    </font>
    <font>
      <b/>
      <sz val="10"/>
      <color rgb="FF000000"/>
      <name val="Tahoma"/>
      <family val="2"/>
    </font>
    <font>
      <sz val="11"/>
      <color rgb="FF000000"/>
      <name val="Calibri"/>
      <family val="2"/>
      <scheme val="minor"/>
    </font>
    <font>
      <b/>
      <sz val="16"/>
      <color theme="1"/>
      <name val="Calibri"/>
      <family val="2"/>
      <scheme val="minor"/>
    </font>
    <font>
      <b/>
      <sz val="16"/>
      <color rgb="FF1F2937"/>
      <name val="Calibri"/>
      <family val="2"/>
    </font>
    <font>
      <b/>
      <sz val="14"/>
      <color rgb="FFFFFFFF"/>
      <name val="Calibri"/>
      <family val="2"/>
    </font>
    <font>
      <b/>
      <sz val="14"/>
      <color theme="1"/>
      <name val="Calibri"/>
      <family val="2"/>
      <scheme val="minor"/>
    </font>
    <font>
      <b/>
      <sz val="11"/>
      <color rgb="FF1A1A1A"/>
      <name val="Calibri"/>
      <family val="2"/>
      <scheme val="minor"/>
    </font>
    <font>
      <b/>
      <sz val="11"/>
      <color rgb="FF2E7D32"/>
      <name val="Calibri"/>
      <family val="2"/>
      <scheme val="minor"/>
    </font>
    <font>
      <b/>
      <sz val="11"/>
      <color rgb="FFC62828"/>
      <name val="Calibri"/>
      <family val="2"/>
      <scheme val="minor"/>
    </font>
  </fonts>
  <fills count="31">
    <fill>
      <patternFill patternType="none"/>
    </fill>
    <fill>
      <patternFill patternType="gray125"/>
    </fill>
    <fill>
      <patternFill patternType="solid">
        <fgColor rgb="FFFEF9C3"/>
      </patternFill>
    </fill>
    <fill>
      <patternFill patternType="solid">
        <fgColor rgb="FF1F4E8A"/>
      </patternFill>
    </fill>
    <fill>
      <patternFill patternType="solid">
        <fgColor rgb="FFF3F4F6"/>
      </patternFill>
    </fill>
    <fill>
      <patternFill patternType="solid">
        <fgColor rgb="FF6B7280"/>
      </patternFill>
    </fill>
    <fill>
      <patternFill patternType="solid">
        <fgColor rgb="FFF1F5F9"/>
      </patternFill>
    </fill>
    <fill>
      <patternFill patternType="solid">
        <fgColor rgb="FF1F4E8A"/>
        <bgColor indexed="64"/>
      </patternFill>
    </fill>
    <fill>
      <patternFill patternType="solid">
        <fgColor rgb="FFFEF3C7"/>
        <bgColor indexed="64"/>
      </patternFill>
    </fill>
    <fill>
      <patternFill patternType="solid">
        <fgColor rgb="FFFECACA"/>
        <bgColor indexed="64"/>
      </patternFill>
    </fill>
    <fill>
      <patternFill patternType="solid">
        <fgColor rgb="FFDC2626"/>
        <bgColor indexed="64"/>
      </patternFill>
    </fill>
    <fill>
      <patternFill patternType="solid">
        <fgColor rgb="FFDCFCE7"/>
        <bgColor indexed="64"/>
      </patternFill>
    </fill>
    <fill>
      <patternFill patternType="solid">
        <fgColor rgb="FFFCA5A5"/>
        <bgColor indexed="64"/>
      </patternFill>
    </fill>
    <fill>
      <patternFill patternType="solid">
        <fgColor rgb="FF2563EB"/>
        <bgColor indexed="64"/>
      </patternFill>
    </fill>
    <fill>
      <patternFill patternType="solid">
        <fgColor rgb="FFF59E0B"/>
        <bgColor indexed="64"/>
      </patternFill>
    </fill>
    <fill>
      <patternFill patternType="solid">
        <fgColor rgb="FF16A34A"/>
        <bgColor indexed="64"/>
      </patternFill>
    </fill>
    <fill>
      <patternFill patternType="solid">
        <fgColor rgb="FFFEE2E2"/>
        <bgColor indexed="64"/>
      </patternFill>
    </fill>
    <fill>
      <patternFill patternType="solid">
        <fgColor rgb="FFF3F4F6"/>
        <bgColor indexed="64"/>
      </patternFill>
    </fill>
    <fill>
      <patternFill patternType="solid">
        <fgColor rgb="FFFFFFFF"/>
        <bgColor indexed="64"/>
      </patternFill>
    </fill>
    <fill>
      <patternFill patternType="solid">
        <fgColor rgb="FFDBEAFE"/>
        <bgColor indexed="64"/>
      </patternFill>
    </fill>
    <fill>
      <patternFill patternType="solid">
        <fgColor rgb="FF1E3A5F"/>
        <bgColor indexed="64"/>
      </patternFill>
    </fill>
    <fill>
      <patternFill patternType="solid">
        <fgColor rgb="FF1F3864"/>
        <bgColor indexed="64"/>
      </patternFill>
    </fill>
    <fill>
      <patternFill patternType="solid">
        <fgColor rgb="FFE8F5E9"/>
        <bgColor indexed="64"/>
      </patternFill>
    </fill>
    <fill>
      <patternFill patternType="solid">
        <fgColor rgb="FFFFF3E0"/>
        <bgColor indexed="64"/>
      </patternFill>
    </fill>
    <fill>
      <patternFill patternType="solid">
        <fgColor rgb="FFFFEBEE"/>
        <bgColor indexed="64"/>
      </patternFill>
    </fill>
    <fill>
      <patternFill patternType="solid">
        <fgColor rgb="FFFFB74D"/>
        <bgColor indexed="64"/>
      </patternFill>
    </fill>
    <fill>
      <patternFill patternType="solid">
        <fgColor rgb="FFDDDDDD"/>
        <bgColor indexed="64"/>
      </patternFill>
    </fill>
    <fill>
      <patternFill patternType="solid">
        <fgColor rgb="FF42A5F5"/>
        <bgColor indexed="64"/>
      </patternFill>
    </fill>
    <fill>
      <patternFill patternType="solid">
        <fgColor rgb="FFAB47BC"/>
        <bgColor indexed="64"/>
      </patternFill>
    </fill>
    <fill>
      <patternFill patternType="solid">
        <fgColor rgb="FFE3F2FD"/>
        <bgColor indexed="64"/>
      </patternFill>
    </fill>
    <fill>
      <patternFill patternType="solid">
        <fgColor rgb="FFF3E5F5"/>
        <bgColor indexed="64"/>
      </patternFill>
    </fill>
  </fills>
  <borders count="21">
    <border>
      <left/>
      <right/>
      <top/>
      <bottom/>
      <diagonal/>
    </border>
    <border>
      <left style="thin">
        <color rgb="FFD1D5DB"/>
      </left>
      <right style="thin">
        <color rgb="FFD1D5DB"/>
      </right>
      <top style="thin">
        <color rgb="FFD1D5DB"/>
      </top>
      <bottom style="thin">
        <color rgb="FFD1D5DB"/>
      </bottom>
      <diagonal/>
    </border>
    <border>
      <left style="thin">
        <color rgb="FF1F4E8A"/>
      </left>
      <right style="thin">
        <color rgb="FF1F4E8A"/>
      </right>
      <top style="thin">
        <color rgb="FF1F4E8A"/>
      </top>
      <bottom style="thin">
        <color rgb="FF1F4E8A"/>
      </bottom>
      <diagonal/>
    </border>
    <border>
      <left style="thin">
        <color rgb="FFFFFFFF"/>
      </left>
      <right/>
      <top style="thin">
        <color rgb="FFFFFFFF"/>
      </top>
      <bottom/>
      <diagonal/>
    </border>
    <border>
      <left style="thin">
        <color rgb="FFFFFFFF"/>
      </left>
      <right/>
      <top/>
      <bottom style="thin">
        <color rgb="FFFFFFFF"/>
      </bottom>
      <diagonal/>
    </border>
    <border>
      <left/>
      <right style="thin">
        <color rgb="FFFFFFFF"/>
      </right>
      <top style="thin">
        <color rgb="FFFFFFFF"/>
      </top>
      <bottom/>
      <diagonal/>
    </border>
    <border>
      <left/>
      <right style="thin">
        <color rgb="FFFFFFFF"/>
      </right>
      <top/>
      <bottom style="thin">
        <color rgb="FFFFFFFF"/>
      </bottom>
      <diagonal/>
    </border>
    <border>
      <left style="thin">
        <color rgb="FFD1D5DB"/>
      </left>
      <right style="thin">
        <color rgb="FFD1D5DB"/>
      </right>
      <top/>
      <bottom/>
      <diagonal/>
    </border>
    <border>
      <left style="thin">
        <color rgb="FFD1D5DB"/>
      </left>
      <right/>
      <top/>
      <bottom/>
      <diagonal/>
    </border>
    <border>
      <left style="thin">
        <color rgb="FFAAAAAA"/>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style="thin">
        <color rgb="FFAAAAAA"/>
      </right>
      <top style="thin">
        <color rgb="FFDDDDDD"/>
      </top>
      <bottom style="thin">
        <color rgb="FFDDDDDD"/>
      </bottom>
      <diagonal/>
    </border>
    <border>
      <left style="thin">
        <color rgb="FFAAAAAA"/>
      </left>
      <right style="thin">
        <color rgb="FFDDDDDD"/>
      </right>
      <top style="thin">
        <color rgb="FFDDDDDD"/>
      </top>
      <bottom style="thin">
        <color rgb="FFAAAAAA"/>
      </bottom>
      <diagonal/>
    </border>
    <border>
      <left style="thin">
        <color rgb="FFDDDDDD"/>
      </left>
      <right style="thin">
        <color rgb="FFDDDDDD"/>
      </right>
      <top style="thin">
        <color rgb="FFDDDDDD"/>
      </top>
      <bottom style="thin">
        <color rgb="FFAAAAAA"/>
      </bottom>
      <diagonal/>
    </border>
    <border>
      <left style="thin">
        <color rgb="FFDDDDDD"/>
      </left>
      <right style="thin">
        <color rgb="FFAAAAAA"/>
      </right>
      <top style="thin">
        <color rgb="FFDDDDDD"/>
      </top>
      <bottom style="thin">
        <color rgb="FFAAAAAA"/>
      </bottom>
      <diagonal/>
    </border>
    <border>
      <left style="thin">
        <color rgb="FFAAAAAA"/>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AAAAAA"/>
      </right>
      <top/>
      <bottom style="thin">
        <color rgb="FFDDDDDD"/>
      </bottom>
      <diagonal/>
    </border>
    <border>
      <left style="thin">
        <color rgb="FFAAAAAA"/>
      </left>
      <right style="thin">
        <color rgb="FFDDDDDD"/>
      </right>
      <top style="thin">
        <color rgb="FFAAAAAA"/>
      </top>
      <bottom style="medium">
        <color rgb="FF555555"/>
      </bottom>
      <diagonal/>
    </border>
    <border>
      <left style="thin">
        <color rgb="FFDDDDDD"/>
      </left>
      <right style="thin">
        <color rgb="FFDDDDDD"/>
      </right>
      <top style="thin">
        <color rgb="FFAAAAAA"/>
      </top>
      <bottom style="medium">
        <color rgb="FF555555"/>
      </bottom>
      <diagonal/>
    </border>
    <border>
      <left style="thin">
        <color rgb="FFDDDDDD"/>
      </left>
      <right style="thin">
        <color rgb="FFAAAAAA"/>
      </right>
      <top style="thin">
        <color rgb="FFAAAAAA"/>
      </top>
      <bottom style="medium">
        <color rgb="FF555555"/>
      </bottom>
      <diagonal/>
    </border>
  </borders>
  <cellStyleXfs count="2">
    <xf numFmtId="0" fontId="0" fillId="0" borderId="0"/>
    <xf numFmtId="0" fontId="7" fillId="0" borderId="0" applyNumberFormat="0" applyFill="0" applyBorder="0" applyAlignment="0" applyProtection="0"/>
  </cellStyleXfs>
  <cellXfs count="123">
    <xf numFmtId="0" fontId="0" fillId="0" borderId="0" xfId="0"/>
    <xf numFmtId="0" fontId="1" fillId="0" borderId="0" xfId="0" applyFont="1" applyAlignment="1">
      <alignment vertical="center"/>
    </xf>
    <xf numFmtId="0" fontId="3" fillId="0" borderId="0" xfId="0" applyFont="1" applyAlignment="1">
      <alignment vertical="center"/>
    </xf>
    <xf numFmtId="0" fontId="4" fillId="3" borderId="1" xfId="0" applyFont="1" applyFill="1" applyBorder="1"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0" fillId="0" borderId="0" xfId="0" applyAlignment="1">
      <alignment vertical="top" wrapText="1" indent="1"/>
    </xf>
    <xf numFmtId="0" fontId="5" fillId="0" borderId="0" xfId="0" applyFont="1" applyAlignment="1">
      <alignment vertical="center"/>
    </xf>
    <xf numFmtId="0" fontId="4" fillId="5" borderId="1" xfId="0" applyFont="1" applyFill="1" applyBorder="1" applyAlignment="1">
      <alignment horizontal="left" vertical="top" wrapText="1"/>
    </xf>
    <xf numFmtId="0" fontId="8" fillId="7" borderId="0" xfId="0" applyFont="1" applyFill="1"/>
    <xf numFmtId="0" fontId="9" fillId="0" borderId="0" xfId="0" applyFont="1"/>
    <xf numFmtId="0" fontId="10" fillId="0" borderId="0" xfId="0" applyFont="1"/>
    <xf numFmtId="0" fontId="0" fillId="8" borderId="0" xfId="0" applyFill="1"/>
    <xf numFmtId="0" fontId="12" fillId="0" borderId="0" xfId="0" applyFont="1"/>
    <xf numFmtId="0" fontId="4" fillId="3" borderId="2" xfId="0" applyFont="1" applyFill="1" applyBorder="1" applyAlignment="1">
      <alignment horizontal="left" vertical="top" wrapText="1"/>
    </xf>
    <xf numFmtId="0" fontId="4" fillId="7" borderId="2" xfId="0" applyFont="1" applyFill="1" applyBorder="1" applyAlignment="1">
      <alignment horizontal="center" vertical="top" wrapText="1"/>
    </xf>
    <xf numFmtId="0" fontId="8" fillId="7" borderId="2" xfId="0" applyFont="1" applyFill="1" applyBorder="1" applyAlignment="1">
      <alignment horizontal="center" vertical="top" wrapText="1"/>
    </xf>
    <xf numFmtId="0" fontId="13" fillId="8" borderId="2" xfId="0" applyFont="1" applyFill="1" applyBorder="1" applyAlignment="1">
      <alignment horizontal="center" vertical="center" wrapText="1"/>
    </xf>
    <xf numFmtId="0" fontId="14" fillId="9" borderId="2"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15" fillId="11" borderId="2" xfId="0" applyFont="1" applyFill="1" applyBorder="1" applyAlignment="1">
      <alignment horizontal="center" vertical="center" wrapText="1"/>
    </xf>
    <xf numFmtId="0" fontId="16" fillId="12" borderId="2" xfId="0" applyFont="1" applyFill="1" applyBorder="1" applyAlignment="1">
      <alignment horizontal="center" vertical="center" wrapText="1"/>
    </xf>
    <xf numFmtId="0" fontId="11" fillId="0" borderId="0" xfId="0" applyFont="1" applyAlignment="1">
      <alignment horizontal="right"/>
    </xf>
    <xf numFmtId="164" fontId="0" fillId="0" borderId="0" xfId="0" applyNumberFormat="1"/>
    <xf numFmtId="0" fontId="7" fillId="0" borderId="1" xfId="1" applyBorder="1" applyAlignment="1">
      <alignment horizontal="left" vertical="top" wrapText="1"/>
    </xf>
    <xf numFmtId="0" fontId="7" fillId="4" borderId="1" xfId="1" applyFill="1" applyBorder="1" applyAlignment="1">
      <alignment horizontal="left" vertical="top" wrapText="1"/>
    </xf>
    <xf numFmtId="0" fontId="18" fillId="0" borderId="0" xfId="0" applyFont="1" applyAlignment="1">
      <alignment horizontal="right"/>
    </xf>
    <xf numFmtId="0" fontId="19" fillId="0" borderId="0" xfId="0" applyFont="1" applyAlignment="1">
      <alignment horizontal="right"/>
    </xf>
    <xf numFmtId="0" fontId="12" fillId="17" borderId="0" xfId="0" applyFont="1" applyFill="1"/>
    <xf numFmtId="0" fontId="12" fillId="17" borderId="0" xfId="0" applyFont="1" applyFill="1" applyAlignment="1">
      <alignment horizontal="center"/>
    </xf>
    <xf numFmtId="0" fontId="12" fillId="17" borderId="0" xfId="0" applyFont="1" applyFill="1" applyAlignment="1">
      <alignment horizontal="right"/>
    </xf>
    <xf numFmtId="9" fontId="0" fillId="0" borderId="0" xfId="0" applyNumberFormat="1" applyAlignment="1">
      <alignment horizontal="center"/>
    </xf>
    <xf numFmtId="0" fontId="0" fillId="0" borderId="0" xfId="0" applyAlignment="1">
      <alignment horizontal="center"/>
    </xf>
    <xf numFmtId="1" fontId="0" fillId="0" borderId="0" xfId="0" applyNumberFormat="1" applyAlignment="1">
      <alignment horizontal="right"/>
    </xf>
    <xf numFmtId="1" fontId="9" fillId="0" borderId="0" xfId="0" applyNumberFormat="1" applyFont="1" applyAlignment="1">
      <alignment horizontal="right"/>
    </xf>
    <xf numFmtId="0" fontId="4" fillId="3" borderId="8" xfId="0" applyFont="1" applyFill="1" applyBorder="1" applyAlignment="1">
      <alignment horizontal="left" vertical="top" wrapText="1"/>
    </xf>
    <xf numFmtId="0" fontId="0" fillId="0" borderId="8" xfId="0" applyBorder="1" applyAlignment="1">
      <alignment horizontal="left" vertical="top" wrapText="1"/>
    </xf>
    <xf numFmtId="0" fontId="12" fillId="0" borderId="8" xfId="0" applyFont="1" applyBorder="1" applyAlignment="1">
      <alignment horizontal="left" vertical="top" wrapText="1"/>
    </xf>
    <xf numFmtId="1" fontId="12" fillId="8" borderId="0" xfId="0" applyNumberFormat="1" applyFont="1" applyFill="1" applyAlignment="1">
      <alignment horizontal="right"/>
    </xf>
    <xf numFmtId="0" fontId="9" fillId="0" borderId="8" xfId="0" applyFont="1" applyBorder="1" applyAlignment="1">
      <alignment horizontal="left" vertical="top" wrapText="1"/>
    </xf>
    <xf numFmtId="0" fontId="0" fillId="4" borderId="8" xfId="0" applyFill="1" applyBorder="1" applyAlignment="1">
      <alignment horizontal="left" vertical="top" wrapText="1"/>
    </xf>
    <xf numFmtId="0" fontId="20" fillId="0" borderId="8" xfId="0" applyFont="1" applyBorder="1" applyAlignment="1">
      <alignment horizontal="left" vertical="top" wrapText="1"/>
    </xf>
    <xf numFmtId="0" fontId="0" fillId="4" borderId="0" xfId="0" applyFill="1" applyAlignment="1">
      <alignment horizontal="center" vertical="top" wrapText="1"/>
    </xf>
    <xf numFmtId="2" fontId="0" fillId="0" borderId="0" xfId="0" applyNumberFormat="1" applyAlignment="1">
      <alignment horizontal="right"/>
    </xf>
    <xf numFmtId="0" fontId="0" fillId="0" borderId="0" xfId="0" applyAlignment="1">
      <alignment horizontal="center" vertical="top" wrapText="1"/>
    </xf>
    <xf numFmtId="165" fontId="12" fillId="0" borderId="0" xfId="0" applyNumberFormat="1" applyFont="1" applyAlignment="1">
      <alignment horizontal="right"/>
    </xf>
    <xf numFmtId="0" fontId="12" fillId="11" borderId="8" xfId="0" applyFont="1" applyFill="1" applyBorder="1" applyAlignment="1">
      <alignment horizontal="left" vertical="top" wrapText="1"/>
    </xf>
    <xf numFmtId="1" fontId="12" fillId="11" borderId="0" xfId="0" applyNumberFormat="1" applyFont="1" applyFill="1" applyAlignment="1">
      <alignment horizontal="right"/>
    </xf>
    <xf numFmtId="0" fontId="12" fillId="4" borderId="8" xfId="0" applyFont="1" applyFill="1" applyBorder="1" applyAlignment="1">
      <alignment horizontal="left" vertical="top" wrapText="1"/>
    </xf>
    <xf numFmtId="165" fontId="12" fillId="16" borderId="0" xfId="0" applyNumberFormat="1" applyFont="1" applyFill="1" applyAlignment="1">
      <alignment horizontal="right"/>
    </xf>
    <xf numFmtId="165" fontId="0" fillId="8" borderId="0" xfId="0" applyNumberFormat="1" applyFill="1" applyAlignment="1">
      <alignment horizontal="right"/>
    </xf>
    <xf numFmtId="9" fontId="0" fillId="4" borderId="8" xfId="0" applyNumberFormat="1" applyFill="1" applyBorder="1" applyAlignment="1">
      <alignment horizontal="center" vertical="top" wrapText="1"/>
    </xf>
    <xf numFmtId="9" fontId="0" fillId="0" borderId="8" xfId="0" applyNumberFormat="1" applyBorder="1" applyAlignment="1">
      <alignment horizontal="center" vertical="top" wrapText="1"/>
    </xf>
    <xf numFmtId="0" fontId="0" fillId="0" borderId="0" xfId="0" applyAlignment="1">
      <alignment vertical="top" wrapText="1"/>
    </xf>
    <xf numFmtId="9" fontId="0" fillId="0" borderId="0" xfId="0" applyNumberFormat="1"/>
    <xf numFmtId="0" fontId="24" fillId="0" borderId="0" xfId="0" applyFont="1"/>
    <xf numFmtId="0" fontId="8" fillId="21" borderId="0" xfId="0" applyFont="1" applyFill="1"/>
    <xf numFmtId="15" fontId="0" fillId="0" borderId="0" xfId="0" applyNumberFormat="1"/>
    <xf numFmtId="9" fontId="12" fillId="0" borderId="0" xfId="0" applyNumberFormat="1" applyFont="1"/>
    <xf numFmtId="0" fontId="25" fillId="0" borderId="0" xfId="0" applyFont="1" applyAlignment="1">
      <alignment vertical="center"/>
    </xf>
    <xf numFmtId="0" fontId="26" fillId="21" borderId="0" xfId="0" applyFont="1" applyFill="1" applyAlignment="1">
      <alignment vertical="center"/>
    </xf>
    <xf numFmtId="0" fontId="8" fillId="21" borderId="7" xfId="0" applyFont="1" applyFill="1" applyBorder="1" applyAlignment="1">
      <alignment horizontal="left" vertical="top" wrapText="1"/>
    </xf>
    <xf numFmtId="0" fontId="27" fillId="0" borderId="0" xfId="0" applyFont="1" applyAlignment="1">
      <alignment vertical="top"/>
    </xf>
    <xf numFmtId="0" fontId="0" fillId="0" borderId="0" xfId="0" applyAlignment="1">
      <alignment vertical="top"/>
    </xf>
    <xf numFmtId="0" fontId="8" fillId="20" borderId="0" xfId="0" applyFont="1" applyFill="1" applyAlignment="1">
      <alignment vertical="top"/>
    </xf>
    <xf numFmtId="0" fontId="9" fillId="0" borderId="0" xfId="0" applyFont="1" applyAlignment="1">
      <alignment vertical="top"/>
    </xf>
    <xf numFmtId="0" fontId="12" fillId="19" borderId="0" xfId="0" applyFont="1" applyFill="1" applyAlignment="1">
      <alignment vertical="top"/>
    </xf>
    <xf numFmtId="9" fontId="0" fillId="0" borderId="0" xfId="0" applyNumberFormat="1" applyAlignment="1">
      <alignment vertical="top"/>
    </xf>
    <xf numFmtId="0" fontId="12" fillId="0" borderId="9" xfId="0" applyFont="1"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12" fillId="0" borderId="12" xfId="0" applyFont="1" applyBorder="1" applyAlignment="1">
      <alignment vertical="top" wrapText="1"/>
    </xf>
    <xf numFmtId="0" fontId="0" fillId="0" borderId="13" xfId="0" applyBorder="1" applyAlignment="1">
      <alignment vertical="top" wrapText="1"/>
    </xf>
    <xf numFmtId="0" fontId="0" fillId="0" borderId="14" xfId="0" applyBorder="1" applyAlignment="1">
      <alignment vertical="top" wrapText="1"/>
    </xf>
    <xf numFmtId="0" fontId="28" fillId="18" borderId="18" xfId="0" applyFont="1" applyFill="1" applyBorder="1" applyAlignment="1">
      <alignment vertical="top"/>
    </xf>
    <xf numFmtId="0" fontId="28" fillId="18" borderId="19" xfId="0" applyFont="1" applyFill="1" applyBorder="1" applyAlignment="1">
      <alignment vertical="top"/>
    </xf>
    <xf numFmtId="0" fontId="28" fillId="18" borderId="20" xfId="0" applyFont="1" applyFill="1" applyBorder="1" applyAlignment="1">
      <alignment vertical="top"/>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17" fillId="0" borderId="9" xfId="0" applyFont="1" applyBorder="1" applyAlignment="1">
      <alignment vertical="top" wrapText="1"/>
    </xf>
    <xf numFmtId="0" fontId="23" fillId="0" borderId="10" xfId="0" applyFont="1" applyBorder="1" applyAlignment="1">
      <alignment vertical="top" wrapText="1"/>
    </xf>
    <xf numFmtId="0" fontId="23" fillId="0" borderId="11" xfId="0" applyFont="1" applyBorder="1" applyAlignment="1">
      <alignment vertical="top" wrapText="1"/>
    </xf>
    <xf numFmtId="0" fontId="23" fillId="0" borderId="1" xfId="0" applyFont="1" applyBorder="1" applyAlignment="1">
      <alignment horizontal="left" vertical="top" wrapText="1"/>
    </xf>
    <xf numFmtId="0" fontId="27" fillId="0" borderId="0" xfId="0" applyFont="1"/>
    <xf numFmtId="0" fontId="8" fillId="20" borderId="0" xfId="0" applyFont="1" applyFill="1"/>
    <xf numFmtId="0" fontId="8" fillId="20" borderId="0" xfId="0" applyFont="1" applyFill="1" applyAlignment="1">
      <alignment horizontal="center"/>
    </xf>
    <xf numFmtId="0" fontId="12" fillId="22" borderId="0" xfId="0" applyFont="1" applyFill="1"/>
    <xf numFmtId="0" fontId="12" fillId="23" borderId="0" xfId="0" applyFont="1" applyFill="1"/>
    <xf numFmtId="0" fontId="8" fillId="25" borderId="0" xfId="0" applyFont="1" applyFill="1" applyAlignment="1">
      <alignment horizontal="center"/>
    </xf>
    <xf numFmtId="0" fontId="29" fillId="0" borderId="0" xfId="0" applyFont="1"/>
    <xf numFmtId="0" fontId="30" fillId="0" borderId="0" xfId="0" applyFont="1"/>
    <xf numFmtId="0" fontId="0" fillId="0" borderId="0" xfId="0" applyAlignment="1">
      <alignment vertical="center" wrapText="1"/>
    </xf>
    <xf numFmtId="0" fontId="0" fillId="23" borderId="0" xfId="0" applyFill="1"/>
    <xf numFmtId="0" fontId="12" fillId="24" borderId="0" xfId="0" applyFont="1" applyFill="1"/>
    <xf numFmtId="166" fontId="0" fillId="0" borderId="0" xfId="0" applyNumberFormat="1"/>
    <xf numFmtId="0" fontId="8" fillId="26" borderId="0" xfId="0" applyFont="1" applyFill="1" applyAlignment="1">
      <alignment horizontal="center"/>
    </xf>
    <xf numFmtId="1" fontId="0" fillId="0" borderId="0" xfId="0" applyNumberFormat="1"/>
    <xf numFmtId="0" fontId="8" fillId="27" borderId="0" xfId="0" applyFont="1" applyFill="1" applyAlignment="1">
      <alignment horizontal="center"/>
    </xf>
    <xf numFmtId="0" fontId="8" fillId="28" borderId="0" xfId="0" applyFont="1" applyFill="1" applyAlignment="1">
      <alignment horizontal="center"/>
    </xf>
    <xf numFmtId="0" fontId="0" fillId="29" borderId="0" xfId="0" applyFill="1"/>
    <xf numFmtId="0" fontId="0" fillId="30" borderId="0" xfId="0" applyFill="1"/>
    <xf numFmtId="0" fontId="0" fillId="0" borderId="0" xfId="0" applyAlignment="1">
      <alignment vertical="top" wrapText="1" indent="1"/>
    </xf>
    <xf numFmtId="0" fontId="0" fillId="0" borderId="0" xfId="0"/>
    <xf numFmtId="0" fontId="2" fillId="2" borderId="0" xfId="0" applyFont="1" applyFill="1" applyAlignment="1">
      <alignment vertical="top" wrapText="1"/>
    </xf>
    <xf numFmtId="0" fontId="0" fillId="0" borderId="0" xfId="0" applyAlignment="1">
      <alignment vertical="top" wrapText="1"/>
    </xf>
    <xf numFmtId="0" fontId="6" fillId="6" borderId="0" xfId="0" applyFont="1" applyFill="1" applyAlignment="1">
      <alignment vertical="top" wrapText="1"/>
    </xf>
    <xf numFmtId="0" fontId="8" fillId="7" borderId="3"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7" borderId="6" xfId="0" applyFont="1" applyFill="1" applyBorder="1" applyAlignment="1">
      <alignment horizontal="center" vertical="center" wrapText="1"/>
    </xf>
    <xf numFmtId="0" fontId="8" fillId="13" borderId="3" xfId="0" applyFont="1" applyFill="1" applyBorder="1" applyAlignment="1">
      <alignment horizontal="center" vertical="center" wrapText="1"/>
    </xf>
    <xf numFmtId="0" fontId="8" fillId="13" borderId="5"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8" fillId="13" borderId="6" xfId="0" applyFont="1" applyFill="1" applyBorder="1" applyAlignment="1">
      <alignment horizontal="center" vertical="center" wrapText="1"/>
    </xf>
    <xf numFmtId="0" fontId="8" fillId="14" borderId="3" xfId="0" applyFont="1" applyFill="1" applyBorder="1" applyAlignment="1">
      <alignment horizontal="center" vertical="center" wrapText="1"/>
    </xf>
    <xf numFmtId="0" fontId="8" fillId="14" borderId="5"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8" fillId="14" borderId="6" xfId="0" applyFont="1" applyFill="1" applyBorder="1" applyAlignment="1">
      <alignment horizontal="center" vertical="center" wrapText="1"/>
    </xf>
    <xf numFmtId="0" fontId="8" fillId="15" borderId="3" xfId="0" applyFont="1" applyFill="1" applyBorder="1" applyAlignment="1">
      <alignment horizontal="center" vertical="center" wrapText="1"/>
    </xf>
    <xf numFmtId="0" fontId="8" fillId="15" borderId="5" xfId="0" applyFont="1" applyFill="1" applyBorder="1" applyAlignment="1">
      <alignment horizontal="center" vertical="center" wrapText="1"/>
    </xf>
    <xf numFmtId="0" fontId="8" fillId="15" borderId="4" xfId="0" applyFont="1" applyFill="1" applyBorder="1" applyAlignment="1">
      <alignment horizontal="center" vertical="center" wrapText="1"/>
    </xf>
    <xf numFmtId="0" fontId="8" fillId="15" borderId="6" xfId="0" applyFont="1" applyFill="1" applyBorder="1" applyAlignment="1">
      <alignment horizontal="center" vertical="center" wrapText="1"/>
    </xf>
  </cellXfs>
  <cellStyles count="2">
    <cellStyle name="Hyperlink" xfId="1" builtinId="8"/>
    <cellStyle name="Normal" xfId="0" builtinId="0"/>
  </cellStyles>
  <dxfs count="15">
    <dxf>
      <font>
        <color rgb="FFFFFFFF"/>
      </font>
      <fill>
        <patternFill patternType="solid">
          <fgColor indexed="64"/>
          <bgColor rgb="FFDC2626"/>
        </patternFill>
      </fill>
    </dxf>
    <dxf>
      <font>
        <color rgb="FFFFFFFF"/>
      </font>
      <fill>
        <patternFill patternType="solid">
          <fgColor indexed="64"/>
          <bgColor rgb="FF16A34A"/>
        </patternFill>
      </fill>
    </dxf>
    <dxf>
      <font>
        <color rgb="FF000000"/>
      </font>
      <fill>
        <patternFill patternType="solid">
          <fgColor indexed="64"/>
          <bgColor rgb="FFEAB308"/>
        </patternFill>
      </fill>
    </dxf>
    <dxf>
      <font>
        <b/>
        <i val="0"/>
        <color rgb="FFFFFFFF"/>
      </font>
      <fill>
        <patternFill patternType="solid">
          <fgColor indexed="64"/>
          <bgColor rgb="FF16A34A"/>
        </patternFill>
      </fill>
    </dxf>
    <dxf>
      <font>
        <b/>
        <i val="0"/>
        <color rgb="FF000000"/>
      </font>
      <fill>
        <patternFill patternType="solid">
          <fgColor indexed="64"/>
          <bgColor rgb="FFEAB308"/>
        </patternFill>
      </fill>
    </dxf>
    <dxf>
      <font>
        <b/>
        <i val="0"/>
        <color rgb="FFFFFFFF"/>
      </font>
      <fill>
        <patternFill patternType="solid">
          <fgColor indexed="64"/>
          <bgColor rgb="FFF97316"/>
        </patternFill>
      </fill>
    </dxf>
    <dxf>
      <font>
        <b/>
        <i val="0"/>
        <color rgb="FFFFFFFF"/>
      </font>
      <fill>
        <patternFill patternType="solid">
          <fgColor indexed="64"/>
          <bgColor rgb="FFDC2626"/>
        </patternFill>
      </fill>
    </dxf>
    <dxf>
      <font>
        <b/>
        <i val="0"/>
        <color rgb="FF166534"/>
      </font>
      <fill>
        <patternFill patternType="solid">
          <fgColor indexed="64"/>
          <bgColor rgb="FFDCFCE7"/>
        </patternFill>
      </fill>
    </dxf>
    <dxf>
      <font>
        <b/>
        <i val="0"/>
        <color rgb="FF92400E"/>
      </font>
      <fill>
        <patternFill patternType="solid">
          <fgColor indexed="64"/>
          <bgColor rgb="FFFEF3C7"/>
        </patternFill>
      </fill>
    </dxf>
    <dxf>
      <font>
        <b/>
        <i val="0"/>
        <color rgb="FF991B1B"/>
      </font>
      <fill>
        <patternFill patternType="solid">
          <fgColor indexed="64"/>
          <bgColor rgb="FFFEE2E2"/>
        </patternFill>
      </fill>
    </dxf>
    <dxf>
      <font>
        <color rgb="FFFFFFFF"/>
      </font>
      <fill>
        <patternFill patternType="solid">
          <fgColor indexed="64"/>
          <bgColor rgb="FF16A34A"/>
        </patternFill>
      </fill>
    </dxf>
    <dxf>
      <font>
        <color rgb="FFFFFFFF"/>
      </font>
      <fill>
        <patternFill patternType="solid">
          <fgColor indexed="64"/>
          <bgColor rgb="FFDC2626"/>
        </patternFill>
      </fill>
    </dxf>
    <dxf>
      <font>
        <color rgb="FF000000"/>
      </font>
      <fill>
        <patternFill patternType="solid">
          <fgColor indexed="64"/>
          <bgColor rgb="FFEAB308"/>
        </patternFill>
      </fill>
    </dxf>
    <dxf>
      <font>
        <color rgb="FFFFFFFF"/>
      </font>
      <fill>
        <patternFill patternType="solid">
          <fgColor indexed="64"/>
          <bgColor rgb="FF6B7280"/>
        </patternFill>
      </fill>
    </dxf>
    <dxf>
      <font>
        <color rgb="FFFFFFFF"/>
      </font>
      <fill>
        <patternFill patternType="solid">
          <fgColor indexed="64"/>
          <bgColor rgb="FF16A34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Effort Rollup vs Capacity (Man-Days)</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manualLayout>
          <c:layoutTarget val="inner"/>
          <c:xMode val="edge"/>
          <c:yMode val="edge"/>
          <c:x val="7.0781989880130958E-2"/>
          <c:y val="9.8188405797101447E-2"/>
          <c:w val="0.91818708228481749"/>
          <c:h val="0.80504773859789269"/>
        </c:manualLayout>
      </c:layout>
      <c:barChart>
        <c:barDir val="bar"/>
        <c:grouping val="clustered"/>
        <c:varyColors val="0"/>
        <c:ser>
          <c:idx val="0"/>
          <c:order val="0"/>
          <c:tx>
            <c:strRef>
              <c:f>'02-Scope'!$N$5</c:f>
              <c:strCache>
                <c:ptCount val="1"/>
                <c:pt idx="0">
                  <c:v>Low MD</c:v>
                </c:pt>
              </c:strCache>
            </c:strRef>
          </c:tx>
          <c:spPr>
            <a:solidFill>
              <a:srgbClr val="93C5FD"/>
            </a:solidFill>
            <a:ln>
              <a:noFill/>
            </a:ln>
            <a:effectLst/>
          </c:spPr>
          <c:invertIfNegative val="0"/>
          <c:cat>
            <c:strRef>
              <c:f>'02-Scope'!$M$6:$M$10</c:f>
              <c:strCache>
                <c:ptCount val="5"/>
                <c:pt idx="0">
                  <c:v>Core Backend</c:v>
                </c:pt>
                <c:pt idx="1">
                  <c:v>Core Frontend</c:v>
                </c:pt>
                <c:pt idx="2">
                  <c:v>Core AI Agent</c:v>
                </c:pt>
                <c:pt idx="3">
                  <c:v>Planner (vertical)</c:v>
                </c:pt>
                <c:pt idx="4">
                  <c:v>Builder capacity</c:v>
                </c:pt>
              </c:strCache>
            </c:strRef>
          </c:cat>
          <c:val>
            <c:numRef>
              <c:f>'02-Scope'!$N$6:$N$10</c:f>
              <c:numCache>
                <c:formatCode>General</c:formatCode>
                <c:ptCount val="5"/>
                <c:pt idx="0">
                  <c:v>51</c:v>
                </c:pt>
                <c:pt idx="1">
                  <c:v>47</c:v>
                </c:pt>
                <c:pt idx="2">
                  <c:v>49</c:v>
                </c:pt>
                <c:pt idx="3">
                  <c:v>113</c:v>
                </c:pt>
                <c:pt idx="4">
                  <c:v>114</c:v>
                </c:pt>
              </c:numCache>
            </c:numRef>
          </c:val>
          <c:extLst>
            <c:ext xmlns:c16="http://schemas.microsoft.com/office/drawing/2014/chart" uri="{C3380CC4-5D6E-409C-BE32-E72D297353CC}">
              <c16:uniqueId val="{00000000-C186-F041-B6C5-CB2C46642FE3}"/>
            </c:ext>
          </c:extLst>
        </c:ser>
        <c:ser>
          <c:idx val="1"/>
          <c:order val="1"/>
          <c:tx>
            <c:strRef>
              <c:f>'02-Scope'!$O$5</c:f>
              <c:strCache>
                <c:ptCount val="1"/>
                <c:pt idx="0">
                  <c:v>High MD</c:v>
                </c:pt>
              </c:strCache>
            </c:strRef>
          </c:tx>
          <c:spPr>
            <a:solidFill>
              <a:srgbClr val="1F4E8A"/>
            </a:solidFill>
            <a:ln>
              <a:noFill/>
            </a:ln>
            <a:effectLst/>
          </c:spPr>
          <c:invertIfNegative val="0"/>
          <c:cat>
            <c:strRef>
              <c:f>'02-Scope'!$M$6:$M$10</c:f>
              <c:strCache>
                <c:ptCount val="5"/>
                <c:pt idx="0">
                  <c:v>Core Backend</c:v>
                </c:pt>
                <c:pt idx="1">
                  <c:v>Core Frontend</c:v>
                </c:pt>
                <c:pt idx="2">
                  <c:v>Core AI Agent</c:v>
                </c:pt>
                <c:pt idx="3">
                  <c:v>Planner (vertical)</c:v>
                </c:pt>
                <c:pt idx="4">
                  <c:v>Builder capacity</c:v>
                </c:pt>
              </c:strCache>
            </c:strRef>
          </c:cat>
          <c:val>
            <c:numRef>
              <c:f>'02-Scope'!$O$6:$O$10</c:f>
              <c:numCache>
                <c:formatCode>General</c:formatCode>
                <c:ptCount val="5"/>
                <c:pt idx="0">
                  <c:v>82</c:v>
                </c:pt>
                <c:pt idx="1">
                  <c:v>81</c:v>
                </c:pt>
                <c:pt idx="2">
                  <c:v>82</c:v>
                </c:pt>
                <c:pt idx="3">
                  <c:v>191</c:v>
                </c:pt>
                <c:pt idx="4">
                  <c:v>114</c:v>
                </c:pt>
              </c:numCache>
            </c:numRef>
          </c:val>
          <c:extLst>
            <c:ext xmlns:c16="http://schemas.microsoft.com/office/drawing/2014/chart" uri="{C3380CC4-5D6E-409C-BE32-E72D297353CC}">
              <c16:uniqueId val="{00000001-C186-F041-B6C5-CB2C46642FE3}"/>
            </c:ext>
          </c:extLst>
        </c:ser>
        <c:ser>
          <c:idx val="2"/>
          <c:order val="2"/>
          <c:tx>
            <c:strRef>
              <c:f>'02-Scope'!$P$5</c:f>
              <c:strCache>
                <c:ptCount val="1"/>
                <c:pt idx="0">
                  <c:v>Midpoint MD</c:v>
                </c:pt>
              </c:strCache>
            </c:strRef>
          </c:tx>
          <c:spPr>
            <a:solidFill>
              <a:srgbClr val="F59E0B"/>
            </a:solidFill>
            <a:ln>
              <a:noFill/>
            </a:ln>
            <a:effectLst/>
          </c:spPr>
          <c:invertIfNegative val="0"/>
          <c:cat>
            <c:strRef>
              <c:f>'02-Scope'!$M$6:$M$10</c:f>
              <c:strCache>
                <c:ptCount val="5"/>
                <c:pt idx="0">
                  <c:v>Core Backend</c:v>
                </c:pt>
                <c:pt idx="1">
                  <c:v>Core Frontend</c:v>
                </c:pt>
                <c:pt idx="2">
                  <c:v>Core AI Agent</c:v>
                </c:pt>
                <c:pt idx="3">
                  <c:v>Planner (vertical)</c:v>
                </c:pt>
                <c:pt idx="4">
                  <c:v>Builder capacity</c:v>
                </c:pt>
              </c:strCache>
            </c:strRef>
          </c:cat>
          <c:val>
            <c:numRef>
              <c:f>'02-Scope'!$P$6:$P$10</c:f>
              <c:numCache>
                <c:formatCode>General</c:formatCode>
                <c:ptCount val="5"/>
                <c:pt idx="0">
                  <c:v>67</c:v>
                </c:pt>
                <c:pt idx="1">
                  <c:v>64</c:v>
                </c:pt>
                <c:pt idx="2">
                  <c:v>65.5</c:v>
                </c:pt>
                <c:pt idx="3">
                  <c:v>152</c:v>
                </c:pt>
                <c:pt idx="4">
                  <c:v>114</c:v>
                </c:pt>
              </c:numCache>
            </c:numRef>
          </c:val>
          <c:extLst>
            <c:ext xmlns:c16="http://schemas.microsoft.com/office/drawing/2014/chart" uri="{C3380CC4-5D6E-409C-BE32-E72D297353CC}">
              <c16:uniqueId val="{00000002-C186-F041-B6C5-CB2C46642FE3}"/>
            </c:ext>
          </c:extLst>
        </c:ser>
        <c:dLbls>
          <c:showLegendKey val="0"/>
          <c:showVal val="0"/>
          <c:showCatName val="0"/>
          <c:showSerName val="0"/>
          <c:showPercent val="0"/>
          <c:showBubbleSize val="0"/>
        </c:dLbls>
        <c:gapWidth val="182"/>
        <c:axId val="143898176"/>
        <c:axId val="2132806719"/>
      </c:barChart>
      <c:catAx>
        <c:axId val="143898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132806719"/>
        <c:crosses val="autoZero"/>
        <c:auto val="1"/>
        <c:lblAlgn val="ctr"/>
        <c:lblOffset val="100"/>
        <c:noMultiLvlLbl val="0"/>
      </c:catAx>
      <c:valAx>
        <c:axId val="213280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4389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Sprint Velocity — Planned vs Delivered</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strRef>
              <c:f>'03-Approach'!$G$28</c:f>
              <c:strCache>
                <c:ptCount val="1"/>
                <c:pt idx="0">
                  <c:v>Planned SP</c:v>
                </c:pt>
              </c:strCache>
            </c:strRef>
          </c:tx>
          <c:spPr>
            <a:solidFill>
              <a:srgbClr val="93C5FD"/>
            </a:solidFill>
            <a:ln>
              <a:noFill/>
            </a:ln>
            <a:effectLst/>
          </c:spPr>
          <c:invertIfNegative val="0"/>
          <c:cat>
            <c:strRef>
              <c:f>'03-Approach'!$F$29:$F$32</c:f>
              <c:strCache>
                <c:ptCount val="4"/>
                <c:pt idx="0">
                  <c:v>S1</c:v>
                </c:pt>
                <c:pt idx="1">
                  <c:v>S2</c:v>
                </c:pt>
                <c:pt idx="2">
                  <c:v>S3</c:v>
                </c:pt>
                <c:pt idx="3">
                  <c:v>S4</c:v>
                </c:pt>
              </c:strCache>
            </c:strRef>
          </c:cat>
          <c:val>
            <c:numRef>
              <c:f>'03-Approach'!$G$29:$G$32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1D7E-1C44-96EC-9C63C0098BAE}"/>
            </c:ext>
          </c:extLst>
        </c:ser>
        <c:ser>
          <c:idx val="1"/>
          <c:order val="1"/>
          <c:tx>
            <c:strRef>
              <c:f>'03-Approach'!$H$28</c:f>
              <c:strCache>
                <c:ptCount val="1"/>
                <c:pt idx="0">
                  <c:v>Delivered SP</c:v>
                </c:pt>
              </c:strCache>
            </c:strRef>
          </c:tx>
          <c:spPr>
            <a:solidFill>
              <a:srgbClr val="1F4E8A"/>
            </a:solidFill>
            <a:ln>
              <a:noFill/>
            </a:ln>
            <a:effectLst/>
          </c:spPr>
          <c:invertIfNegative val="0"/>
          <c:cat>
            <c:strRef>
              <c:f>'03-Approach'!$F$29:$F$32</c:f>
              <c:strCache>
                <c:ptCount val="4"/>
                <c:pt idx="0">
                  <c:v>S1</c:v>
                </c:pt>
                <c:pt idx="1">
                  <c:v>S2</c:v>
                </c:pt>
                <c:pt idx="2">
                  <c:v>S3</c:v>
                </c:pt>
                <c:pt idx="3">
                  <c:v>S4</c:v>
                </c:pt>
              </c:strCache>
            </c:strRef>
          </c:cat>
          <c:val>
            <c:numRef>
              <c:f>'03-Approach'!$H$29:$H$32</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1D7E-1C44-96EC-9C63C0098BAE}"/>
            </c:ext>
          </c:extLst>
        </c:ser>
        <c:dLbls>
          <c:showLegendKey val="0"/>
          <c:showVal val="0"/>
          <c:showCatName val="0"/>
          <c:showSerName val="0"/>
          <c:showPercent val="0"/>
          <c:showBubbleSize val="0"/>
        </c:dLbls>
        <c:gapWidth val="219"/>
        <c:overlap val="-27"/>
        <c:axId val="348559040"/>
        <c:axId val="304834176"/>
      </c:barChart>
      <c:catAx>
        <c:axId val="34855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04834176"/>
        <c:crosses val="autoZero"/>
        <c:auto val="1"/>
        <c:lblAlgn val="ctr"/>
        <c:lblOffset val="100"/>
        <c:noMultiLvlLbl val="0"/>
      </c:catAx>
      <c:valAx>
        <c:axId val="30483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48559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AI Differentiator — Productivity / Effort-Reduction Impact</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manualLayout>
          <c:layoutTarget val="inner"/>
          <c:xMode val="edge"/>
          <c:yMode val="edge"/>
          <c:x val="7.7045111548556436E-2"/>
          <c:y val="0.10166666666666667"/>
          <c:w val="0.91338719378827649"/>
          <c:h val="0.85169230769230764"/>
        </c:manualLayout>
      </c:layout>
      <c:barChart>
        <c:barDir val="bar"/>
        <c:grouping val="clustered"/>
        <c:varyColors val="0"/>
        <c:ser>
          <c:idx val="0"/>
          <c:order val="0"/>
          <c:tx>
            <c:strRef>
              <c:f>'03-Approach'!$G$99</c:f>
              <c:strCache>
                <c:ptCount val="1"/>
              </c:strCache>
            </c:strRef>
          </c:tx>
          <c:spPr>
            <a:solidFill>
              <a:srgbClr val="2563E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'03-Approach'!$F$100:$F$105</c:f>
              <c:strCache>
                <c:ptCount val="6"/>
                <c:pt idx="0">
                  <c:v>Dev — productivity ↑</c:v>
                </c:pt>
                <c:pt idx="1">
                  <c:v>QA — manual effort ↓</c:v>
                </c:pt>
                <c:pt idx="2">
                  <c:v>PM — early warning</c:v>
                </c:pt>
                <c:pt idx="3">
                  <c:v>BA — discovery speed ↑</c:v>
                </c:pt>
                <c:pt idx="4">
                  <c:v>Ops — MTTR ↓</c:v>
                </c:pt>
                <c:pt idx="5">
                  <c:v>Client — pilot outcomes</c:v>
                </c:pt>
              </c:strCache>
            </c:strRef>
          </c:cat>
          <c:val>
            <c:numRef>
              <c:f>'03-Approach'!$G$100:$G$105</c:f>
              <c:numCache>
                <c:formatCode>0"%"</c:formatCode>
                <c:ptCount val="6"/>
                <c:pt idx="0">
                  <c:v>33</c:v>
                </c:pt>
                <c:pt idx="1">
                  <c:v>50</c:v>
                </c:pt>
                <c:pt idx="2">
                  <c:v>25</c:v>
                </c:pt>
                <c:pt idx="3">
                  <c:v>30</c:v>
                </c:pt>
                <c:pt idx="4">
                  <c:v>40</c:v>
                </c:pt>
                <c:pt idx="5">
                  <c:v>20</c:v>
                </c:pt>
              </c:numCache>
            </c:numRef>
          </c:val>
          <c:extLst>
            <c:ext xmlns:c16="http://schemas.microsoft.com/office/drawing/2014/chart" uri="{C3380CC4-5D6E-409C-BE32-E72D297353CC}">
              <c16:uniqueId val="{00000000-018D-3448-BC95-BD2A838C8C27}"/>
            </c:ext>
          </c:extLst>
        </c:ser>
        <c:dLbls>
          <c:showLegendKey val="0"/>
          <c:showVal val="0"/>
          <c:showCatName val="0"/>
          <c:showSerName val="0"/>
          <c:showPercent val="0"/>
          <c:showBubbleSize val="0"/>
        </c:dLbls>
        <c:gapWidth val="182"/>
        <c:axId val="385015680"/>
        <c:axId val="385017472"/>
      </c:barChart>
      <c:catAx>
        <c:axId val="38501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85017472"/>
        <c:crosses val="autoZero"/>
        <c:auto val="1"/>
        <c:lblAlgn val="ctr"/>
        <c:lblOffset val="100"/>
        <c:noMultiLvlLbl val="0"/>
      </c:catAx>
      <c:valAx>
        <c:axId val="385017472"/>
        <c:scaling>
          <c:orientation val="minMax"/>
        </c:scaling>
        <c:delete val="0"/>
        <c:axPos val="b"/>
        <c:majorGridlines>
          <c:spPr>
            <a:ln w="9525" cap="flat" cmpd="sng" algn="ctr">
              <a:solidFill>
                <a:schemeClr val="tx1">
                  <a:lumMod val="15000"/>
                  <a:lumOff val="85000"/>
                </a:schemeClr>
              </a:solidFill>
              <a:round/>
            </a:ln>
            <a:effectLst/>
          </c:spPr>
        </c:majorGridlines>
        <c:numFmt formatCode="0&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8501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Gantt Chart — App Planner MVP (22 Apr → 21 Jun 2026,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bar"/>
        <c:grouping val="stacked"/>
        <c:varyColors val="0"/>
        <c:ser>
          <c:idx val="0"/>
          <c:order val="0"/>
          <c:tx>
            <c:strRef>
              <c:f>'04b-Gantt'!$H$4</c:f>
              <c:strCache>
                <c:ptCount val="1"/>
                <c:pt idx="0">
                  <c:v>Offset</c:v>
                </c:pt>
              </c:strCache>
            </c:strRef>
          </c:tx>
          <c:spPr>
            <a:noFill/>
            <a:ln>
              <a:noFill/>
            </a:ln>
            <a:effectLst/>
          </c:spPr>
          <c:invertIfNegative val="0"/>
          <c:cat>
            <c:strRef>
              <c:f>'04b-Gantt'!$C$5:$C$17</c:f>
              <c:strCache>
                <c:ptCount val="12"/>
                <c:pt idx="0">
                  <c:v>[App] Core monorepo foundation (BE + FE scaffolding)</c:v>
                </c:pt>
                <c:pt idx="1">
                  <c:v>[App] Core platform: SSO, DB schema, shared libs</c:v>
                </c:pt>
                <c:pt idx="2">
                  <c:v>[App] Full Planner UI/UX (My Task, My Tasks, My Plans)</c:v>
                </c:pt>
                <c:pt idx="3">
                  <c:v>[App] Board / Grid / Schedule views</c:v>
                </c:pt>
                <c:pt idx="4">
                  <c:v>[App] Analysis screens with charts</c:v>
                </c:pt>
                <c:pt idx="5">
                  <c:v>[AI] Agent querying Planner via predefined MCP/tools</c:v>
                </c:pt>
                <c:pt idx="6">
                  <c:v>[Docs] Full SDLC flow docs with Planner examples</c:v>
                </c:pt>
                <c:pt idx="7">
                  <c:v>[Docs] Flows split by employee level &amp; new/existing systems</c:v>
                </c:pt>
                <c:pt idx="8">
                  <c:v>[AI] Meeting transcript → task extraction</c:v>
                </c:pt>
                <c:pt idx="9">
                  <c:v>[AI] R&amp;D: AI querying data directly from DB (ad-hoc tasks)</c:v>
                </c:pt>
                <c:pt idx="10">
                  <c:v>[App] UI/UX improvements &amp; Month 1 feedback</c:v>
                </c:pt>
                <c:pt idx="11">
                  <c:v>[Docs] V2 — iterate on V1</c:v>
                </c:pt>
              </c:strCache>
            </c:strRef>
          </c:cat>
          <c:val>
            <c:numRef>
              <c:f>'04b-Gantt'!$H$5:$H$17</c:f>
              <c:numCache>
                <c:formatCode>0</c:formatCode>
                <c:ptCount val="13"/>
                <c:pt idx="0">
                  <c:v>46134</c:v>
                </c:pt>
                <c:pt idx="1">
                  <c:v>46139</c:v>
                </c:pt>
                <c:pt idx="2">
                  <c:v>46139</c:v>
                </c:pt>
                <c:pt idx="3">
                  <c:v>46146</c:v>
                </c:pt>
                <c:pt idx="4">
                  <c:v>46153</c:v>
                </c:pt>
                <c:pt idx="5">
                  <c:v>46139</c:v>
                </c:pt>
                <c:pt idx="6">
                  <c:v>46139</c:v>
                </c:pt>
                <c:pt idx="7">
                  <c:v>46146</c:v>
                </c:pt>
                <c:pt idx="8">
                  <c:v>46160</c:v>
                </c:pt>
                <c:pt idx="9">
                  <c:v>46167</c:v>
                </c:pt>
                <c:pt idx="10">
                  <c:v>46160</c:v>
                </c:pt>
                <c:pt idx="11">
                  <c:v>46160</c:v>
                </c:pt>
              </c:numCache>
            </c:numRef>
          </c:val>
          <c:extLst>
            <c:ext xmlns:c16="http://schemas.microsoft.com/office/drawing/2014/chart" uri="{C3380CC4-5D6E-409C-BE32-E72D297353CC}">
              <c16:uniqueId val="{00000000-53D4-164E-9BF1-AE7D16FCFEC1}"/>
            </c:ext>
          </c:extLst>
        </c:ser>
        <c:ser>
          <c:idx val="1"/>
          <c:order val="1"/>
          <c:tx>
            <c:strRef>
              <c:f>'04b-Gantt'!$I$4</c:f>
              <c:strCache>
                <c:ptCount val="1"/>
                <c:pt idx="0">
                  <c:v>Days</c:v>
                </c:pt>
              </c:strCache>
            </c:strRef>
          </c:tx>
          <c:spPr>
            <a:solidFill>
              <a:schemeClr val="accent2"/>
            </a:solidFill>
            <a:ln>
              <a:noFill/>
            </a:ln>
            <a:effectLst/>
          </c:spPr>
          <c:invertIfNegative val="0"/>
          <c:dPt>
            <c:idx val="0"/>
            <c:invertIfNegative val="0"/>
            <c:bubble3D val="0"/>
            <c:spPr>
              <a:solidFill>
                <a:srgbClr val="42A5F5"/>
              </a:solidFill>
              <a:ln>
                <a:noFill/>
              </a:ln>
              <a:effectLst/>
            </c:spPr>
            <c:extLst>
              <c:ext xmlns:c16="http://schemas.microsoft.com/office/drawing/2014/chart" uri="{C3380CC4-5D6E-409C-BE32-E72D297353CC}">
                <c16:uniqueId val="{00000002-53D4-164E-9BF1-AE7D16FCFEC1}"/>
              </c:ext>
            </c:extLst>
          </c:dPt>
          <c:dPt>
            <c:idx val="1"/>
            <c:invertIfNegative val="0"/>
            <c:bubble3D val="0"/>
            <c:spPr>
              <a:solidFill>
                <a:srgbClr val="42A5F5"/>
              </a:solidFill>
              <a:ln>
                <a:noFill/>
              </a:ln>
              <a:effectLst/>
            </c:spPr>
            <c:extLst>
              <c:ext xmlns:c16="http://schemas.microsoft.com/office/drawing/2014/chart" uri="{C3380CC4-5D6E-409C-BE32-E72D297353CC}">
                <c16:uniqueId val="{00000003-53D4-164E-9BF1-AE7D16FCFEC1}"/>
              </c:ext>
            </c:extLst>
          </c:dPt>
          <c:dPt>
            <c:idx val="2"/>
            <c:invertIfNegative val="0"/>
            <c:bubble3D val="0"/>
            <c:spPr>
              <a:solidFill>
                <a:srgbClr val="42A5F5"/>
              </a:solidFill>
              <a:ln>
                <a:noFill/>
              </a:ln>
              <a:effectLst/>
            </c:spPr>
            <c:extLst>
              <c:ext xmlns:c16="http://schemas.microsoft.com/office/drawing/2014/chart" uri="{C3380CC4-5D6E-409C-BE32-E72D297353CC}">
                <c16:uniqueId val="{00000004-53D4-164E-9BF1-AE7D16FCFEC1}"/>
              </c:ext>
            </c:extLst>
          </c:dPt>
          <c:dPt>
            <c:idx val="3"/>
            <c:invertIfNegative val="0"/>
            <c:bubble3D val="0"/>
            <c:spPr>
              <a:solidFill>
                <a:srgbClr val="42A5F5"/>
              </a:solidFill>
              <a:ln>
                <a:noFill/>
              </a:ln>
              <a:effectLst/>
            </c:spPr>
            <c:extLst>
              <c:ext xmlns:c16="http://schemas.microsoft.com/office/drawing/2014/chart" uri="{C3380CC4-5D6E-409C-BE32-E72D297353CC}">
                <c16:uniqueId val="{00000005-53D4-164E-9BF1-AE7D16FCFEC1}"/>
              </c:ext>
            </c:extLst>
          </c:dPt>
          <c:dPt>
            <c:idx val="4"/>
            <c:invertIfNegative val="0"/>
            <c:bubble3D val="0"/>
            <c:spPr>
              <a:solidFill>
                <a:srgbClr val="42A5F5"/>
              </a:solidFill>
              <a:ln>
                <a:noFill/>
              </a:ln>
              <a:effectLst/>
            </c:spPr>
            <c:extLst>
              <c:ext xmlns:c16="http://schemas.microsoft.com/office/drawing/2014/chart" uri="{C3380CC4-5D6E-409C-BE32-E72D297353CC}">
                <c16:uniqueId val="{00000006-53D4-164E-9BF1-AE7D16FCFEC1}"/>
              </c:ext>
            </c:extLst>
          </c:dPt>
          <c:dPt>
            <c:idx val="5"/>
            <c:invertIfNegative val="0"/>
            <c:bubble3D val="0"/>
            <c:spPr>
              <a:solidFill>
                <a:srgbClr val="AB47BC"/>
              </a:solidFill>
              <a:ln>
                <a:noFill/>
              </a:ln>
              <a:effectLst/>
            </c:spPr>
            <c:extLst>
              <c:ext xmlns:c16="http://schemas.microsoft.com/office/drawing/2014/chart" uri="{C3380CC4-5D6E-409C-BE32-E72D297353CC}">
                <c16:uniqueId val="{00000007-53D4-164E-9BF1-AE7D16FCFEC1}"/>
              </c:ext>
            </c:extLst>
          </c:dPt>
          <c:dPt>
            <c:idx val="6"/>
            <c:invertIfNegative val="0"/>
            <c:bubble3D val="0"/>
            <c:spPr>
              <a:solidFill>
                <a:srgbClr val="FFB74D"/>
              </a:solidFill>
              <a:ln>
                <a:noFill/>
              </a:ln>
              <a:effectLst/>
            </c:spPr>
            <c:extLst>
              <c:ext xmlns:c16="http://schemas.microsoft.com/office/drawing/2014/chart" uri="{C3380CC4-5D6E-409C-BE32-E72D297353CC}">
                <c16:uniqueId val="{00000008-53D4-164E-9BF1-AE7D16FCFEC1}"/>
              </c:ext>
            </c:extLst>
          </c:dPt>
          <c:dPt>
            <c:idx val="7"/>
            <c:invertIfNegative val="0"/>
            <c:bubble3D val="0"/>
            <c:spPr>
              <a:solidFill>
                <a:srgbClr val="FFB74D"/>
              </a:solidFill>
              <a:ln>
                <a:noFill/>
              </a:ln>
              <a:effectLst/>
            </c:spPr>
            <c:extLst>
              <c:ext xmlns:c16="http://schemas.microsoft.com/office/drawing/2014/chart" uri="{C3380CC4-5D6E-409C-BE32-E72D297353CC}">
                <c16:uniqueId val="{00000009-53D4-164E-9BF1-AE7D16FCFEC1}"/>
              </c:ext>
            </c:extLst>
          </c:dPt>
          <c:dPt>
            <c:idx val="8"/>
            <c:invertIfNegative val="0"/>
            <c:bubble3D val="0"/>
            <c:spPr>
              <a:solidFill>
                <a:srgbClr val="AB47BC"/>
              </a:solidFill>
              <a:ln>
                <a:noFill/>
              </a:ln>
              <a:effectLst/>
            </c:spPr>
            <c:extLst>
              <c:ext xmlns:c16="http://schemas.microsoft.com/office/drawing/2014/chart" uri="{C3380CC4-5D6E-409C-BE32-E72D297353CC}">
                <c16:uniqueId val="{0000000A-53D4-164E-9BF1-AE7D16FCFEC1}"/>
              </c:ext>
            </c:extLst>
          </c:dPt>
          <c:dPt>
            <c:idx val="9"/>
            <c:invertIfNegative val="0"/>
            <c:bubble3D val="0"/>
            <c:spPr>
              <a:solidFill>
                <a:srgbClr val="AB47BC"/>
              </a:solidFill>
              <a:ln>
                <a:noFill/>
              </a:ln>
              <a:effectLst/>
            </c:spPr>
            <c:extLst>
              <c:ext xmlns:c16="http://schemas.microsoft.com/office/drawing/2014/chart" uri="{C3380CC4-5D6E-409C-BE32-E72D297353CC}">
                <c16:uniqueId val="{0000000B-53D4-164E-9BF1-AE7D16FCFEC1}"/>
              </c:ext>
            </c:extLst>
          </c:dPt>
          <c:dPt>
            <c:idx val="10"/>
            <c:invertIfNegative val="0"/>
            <c:bubble3D val="0"/>
            <c:spPr>
              <a:solidFill>
                <a:srgbClr val="42A5F5"/>
              </a:solidFill>
              <a:ln>
                <a:noFill/>
              </a:ln>
              <a:effectLst/>
            </c:spPr>
            <c:extLst>
              <c:ext xmlns:c16="http://schemas.microsoft.com/office/drawing/2014/chart" uri="{C3380CC4-5D6E-409C-BE32-E72D297353CC}">
                <c16:uniqueId val="{0000000C-53D4-164E-9BF1-AE7D16FCFEC1}"/>
              </c:ext>
            </c:extLst>
          </c:dPt>
          <c:dPt>
            <c:idx val="11"/>
            <c:invertIfNegative val="0"/>
            <c:bubble3D val="0"/>
            <c:spPr>
              <a:solidFill>
                <a:srgbClr val="FFB74D"/>
              </a:solidFill>
              <a:ln>
                <a:noFill/>
              </a:ln>
              <a:effectLst/>
            </c:spPr>
            <c:extLst>
              <c:ext xmlns:c16="http://schemas.microsoft.com/office/drawing/2014/chart" uri="{C3380CC4-5D6E-409C-BE32-E72D297353CC}">
                <c16:uniqueId val="{0000000D-53D4-164E-9BF1-AE7D16FCFEC1}"/>
              </c:ext>
            </c:extLst>
          </c:dPt>
          <c:cat>
            <c:strRef>
              <c:f>'04b-Gantt'!$C$5:$C$17</c:f>
              <c:strCache>
                <c:ptCount val="12"/>
                <c:pt idx="0">
                  <c:v>[App] Core monorepo foundation (BE + FE scaffolding)</c:v>
                </c:pt>
                <c:pt idx="1">
                  <c:v>[App] Core platform: SSO, DB schema, shared libs</c:v>
                </c:pt>
                <c:pt idx="2">
                  <c:v>[App] Full Planner UI/UX (My Task, My Tasks, My Plans)</c:v>
                </c:pt>
                <c:pt idx="3">
                  <c:v>[App] Board / Grid / Schedule views</c:v>
                </c:pt>
                <c:pt idx="4">
                  <c:v>[App] Analysis screens with charts</c:v>
                </c:pt>
                <c:pt idx="5">
                  <c:v>[AI] Agent querying Planner via predefined MCP/tools</c:v>
                </c:pt>
                <c:pt idx="6">
                  <c:v>[Docs] Full SDLC flow docs with Planner examples</c:v>
                </c:pt>
                <c:pt idx="7">
                  <c:v>[Docs] Flows split by employee level &amp; new/existing systems</c:v>
                </c:pt>
                <c:pt idx="8">
                  <c:v>[AI] Meeting transcript → task extraction</c:v>
                </c:pt>
                <c:pt idx="9">
                  <c:v>[AI] R&amp;D: AI querying data directly from DB (ad-hoc tasks)</c:v>
                </c:pt>
                <c:pt idx="10">
                  <c:v>[App] UI/UX improvements &amp; Month 1 feedback</c:v>
                </c:pt>
                <c:pt idx="11">
                  <c:v>[Docs] V2 — iterate on V1</c:v>
                </c:pt>
              </c:strCache>
            </c:strRef>
          </c:cat>
          <c:val>
            <c:numRef>
              <c:f>'04b-Gantt'!$I$5:$I$17</c:f>
              <c:numCache>
                <c:formatCode>0</c:formatCode>
                <c:ptCount val="13"/>
                <c:pt idx="0">
                  <c:v>5</c:v>
                </c:pt>
                <c:pt idx="1">
                  <c:v>7</c:v>
                </c:pt>
                <c:pt idx="2">
                  <c:v>21</c:v>
                </c:pt>
                <c:pt idx="3">
                  <c:v>14</c:v>
                </c:pt>
                <c:pt idx="4">
                  <c:v>7</c:v>
                </c:pt>
                <c:pt idx="5">
                  <c:v>21</c:v>
                </c:pt>
                <c:pt idx="6">
                  <c:v>21</c:v>
                </c:pt>
                <c:pt idx="7">
                  <c:v>14</c:v>
                </c:pt>
                <c:pt idx="8">
                  <c:v>28</c:v>
                </c:pt>
                <c:pt idx="9">
                  <c:v>28</c:v>
                </c:pt>
                <c:pt idx="10">
                  <c:v>28</c:v>
                </c:pt>
                <c:pt idx="11">
                  <c:v>35</c:v>
                </c:pt>
              </c:numCache>
            </c:numRef>
          </c:val>
          <c:extLst>
            <c:ext xmlns:c16="http://schemas.microsoft.com/office/drawing/2014/chart" uri="{C3380CC4-5D6E-409C-BE32-E72D297353CC}">
              <c16:uniqueId val="{00000001-53D4-164E-9BF1-AE7D16FCFEC1}"/>
            </c:ext>
          </c:extLst>
        </c:ser>
        <c:dLbls>
          <c:showLegendKey val="0"/>
          <c:showVal val="0"/>
          <c:showCatName val="0"/>
          <c:showSerName val="0"/>
          <c:showPercent val="0"/>
          <c:showBubbleSize val="0"/>
        </c:dLbls>
        <c:gapWidth val="150"/>
        <c:overlap val="100"/>
        <c:axId val="677839296"/>
        <c:axId val="688755072"/>
      </c:barChart>
      <c:catAx>
        <c:axId val="6778392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88755072"/>
        <c:crosses val="autoZero"/>
        <c:auto val="1"/>
        <c:lblAlgn val="ctr"/>
        <c:lblOffset val="100"/>
        <c:noMultiLvlLbl val="0"/>
      </c:catAx>
      <c:valAx>
        <c:axId val="688755072"/>
        <c:scaling>
          <c:orientation val="minMax"/>
          <c:max val="46194"/>
          <c:min val="46134"/>
        </c:scaling>
        <c:delete val="0"/>
        <c:axPos val="t"/>
        <c:majorGridlines>
          <c:spPr>
            <a:ln w="9525" cap="flat" cmpd="sng" algn="ctr">
              <a:solidFill>
                <a:schemeClr val="tx1">
                  <a:lumMod val="15000"/>
                  <a:lumOff val="85000"/>
                </a:schemeClr>
              </a:solidFill>
              <a:round/>
            </a:ln>
            <a:effectLst/>
          </c:spPr>
        </c:majorGridlines>
        <c:numFmt formatCode="dd/m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77839296"/>
        <c:crosses val="autoZero"/>
        <c:crossBetween val="between"/>
        <c:majorUnit val="7"/>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Dependencies — Due Week (0 = Kickoff)</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bar"/>
        <c:grouping val="clustered"/>
        <c:varyColors val="0"/>
        <c:ser>
          <c:idx val="0"/>
          <c:order val="0"/>
          <c:tx>
            <c:strRef>
              <c:f>'05-DCA'!$I$8</c:f>
              <c:strCache>
                <c:ptCount val="1"/>
                <c:pt idx="0">
                  <c:v>Due week</c:v>
                </c:pt>
              </c:strCache>
            </c:strRef>
          </c:tx>
          <c:spPr>
            <a:solidFill>
              <a:srgbClr val="1F4E8A"/>
            </a:solidFill>
            <a:ln>
              <a:noFill/>
            </a:ln>
            <a:effectLst/>
          </c:spPr>
          <c:invertIfNegative val="0"/>
          <c:dPt>
            <c:idx val="0"/>
            <c:invertIfNegative val="0"/>
            <c:bubble3D val="0"/>
            <c:spPr>
              <a:solidFill>
                <a:srgbClr val="DC2626"/>
              </a:solidFill>
              <a:ln>
                <a:noFill/>
              </a:ln>
              <a:effectLst/>
            </c:spPr>
            <c:extLst>
              <c:ext xmlns:c16="http://schemas.microsoft.com/office/drawing/2014/chart" uri="{C3380CC4-5D6E-409C-BE32-E72D297353CC}">
                <c16:uniqueId val="{00000001-BE2D-8D49-8F49-7851AF1AF858}"/>
              </c:ext>
            </c:extLst>
          </c:dPt>
          <c:dPt>
            <c:idx val="1"/>
            <c:invertIfNegative val="0"/>
            <c:bubble3D val="0"/>
            <c:spPr>
              <a:solidFill>
                <a:srgbClr val="DC2626"/>
              </a:solidFill>
              <a:ln>
                <a:noFill/>
              </a:ln>
              <a:effectLst/>
            </c:spPr>
            <c:extLst>
              <c:ext xmlns:c16="http://schemas.microsoft.com/office/drawing/2014/chart" uri="{C3380CC4-5D6E-409C-BE32-E72D297353CC}">
                <c16:uniqueId val="{00000002-BE2D-8D49-8F49-7851AF1AF858}"/>
              </c:ext>
            </c:extLst>
          </c:dPt>
          <c:dPt>
            <c:idx val="2"/>
            <c:invertIfNegative val="0"/>
            <c:bubble3D val="0"/>
            <c:spPr>
              <a:solidFill>
                <a:srgbClr val="DC2626"/>
              </a:solidFill>
              <a:ln>
                <a:noFill/>
              </a:ln>
              <a:effectLst/>
            </c:spPr>
            <c:extLst>
              <c:ext xmlns:c16="http://schemas.microsoft.com/office/drawing/2014/chart" uri="{C3380CC4-5D6E-409C-BE32-E72D297353CC}">
                <c16:uniqueId val="{00000003-BE2D-8D49-8F49-7851AF1AF858}"/>
              </c:ext>
            </c:extLst>
          </c:dPt>
          <c:dPt>
            <c:idx val="3"/>
            <c:invertIfNegative val="0"/>
            <c:bubble3D val="0"/>
            <c:spPr>
              <a:solidFill>
                <a:srgbClr val="DC2626"/>
              </a:solidFill>
              <a:ln>
                <a:noFill/>
              </a:ln>
              <a:effectLst/>
            </c:spPr>
            <c:extLst>
              <c:ext xmlns:c16="http://schemas.microsoft.com/office/drawing/2014/chart" uri="{C3380CC4-5D6E-409C-BE32-E72D297353CC}">
                <c16:uniqueId val="{00000004-BE2D-8D49-8F49-7851AF1AF858}"/>
              </c:ext>
            </c:extLst>
          </c:dPt>
          <c:dPt>
            <c:idx val="4"/>
            <c:invertIfNegative val="0"/>
            <c:bubble3D val="0"/>
            <c:spPr>
              <a:solidFill>
                <a:srgbClr val="DC2626"/>
              </a:solidFill>
              <a:ln>
                <a:noFill/>
              </a:ln>
              <a:effectLst/>
            </c:spPr>
            <c:extLst>
              <c:ext xmlns:c16="http://schemas.microsoft.com/office/drawing/2014/chart" uri="{C3380CC4-5D6E-409C-BE32-E72D297353CC}">
                <c16:uniqueId val="{00000005-BE2D-8D49-8F49-7851AF1AF858}"/>
              </c:ext>
            </c:extLst>
          </c:dPt>
          <c:dPt>
            <c:idx val="5"/>
            <c:invertIfNegative val="0"/>
            <c:bubble3D val="0"/>
            <c:spPr>
              <a:solidFill>
                <a:srgbClr val="DC2626"/>
              </a:solidFill>
              <a:ln>
                <a:noFill/>
              </a:ln>
              <a:effectLst/>
            </c:spPr>
            <c:extLst>
              <c:ext xmlns:c16="http://schemas.microsoft.com/office/drawing/2014/chart" uri="{C3380CC4-5D6E-409C-BE32-E72D297353CC}">
                <c16:uniqueId val="{00000006-BE2D-8D49-8F49-7851AF1AF858}"/>
              </c:ext>
            </c:extLst>
          </c:dPt>
          <c:dPt>
            <c:idx val="6"/>
            <c:invertIfNegative val="0"/>
            <c:bubble3D val="0"/>
            <c:spPr>
              <a:solidFill>
                <a:srgbClr val="DC2626"/>
              </a:solidFill>
              <a:ln>
                <a:noFill/>
              </a:ln>
              <a:effectLst/>
            </c:spPr>
            <c:extLst>
              <c:ext xmlns:c16="http://schemas.microsoft.com/office/drawing/2014/chart" uri="{C3380CC4-5D6E-409C-BE32-E72D297353CC}">
                <c16:uniqueId val="{00000007-BE2D-8D49-8F49-7851AF1AF858}"/>
              </c:ext>
            </c:extLst>
          </c:dPt>
          <c:dPt>
            <c:idx val="7"/>
            <c:invertIfNegative val="0"/>
            <c:bubble3D val="0"/>
            <c:spPr>
              <a:solidFill>
                <a:srgbClr val="16A34A"/>
              </a:solidFill>
              <a:ln>
                <a:noFill/>
              </a:ln>
              <a:effectLst/>
            </c:spPr>
            <c:extLst>
              <c:ext xmlns:c16="http://schemas.microsoft.com/office/drawing/2014/chart" uri="{C3380CC4-5D6E-409C-BE32-E72D297353CC}">
                <c16:uniqueId val="{00000008-BE2D-8D49-8F49-7851AF1AF858}"/>
              </c:ext>
            </c:extLst>
          </c:dPt>
          <c:dPt>
            <c:idx val="8"/>
            <c:invertIfNegative val="0"/>
            <c:bubble3D val="0"/>
            <c:spPr>
              <a:solidFill>
                <a:srgbClr val="DC2626"/>
              </a:solidFill>
              <a:ln>
                <a:noFill/>
              </a:ln>
              <a:effectLst/>
            </c:spPr>
            <c:extLst>
              <c:ext xmlns:c16="http://schemas.microsoft.com/office/drawing/2014/chart" uri="{C3380CC4-5D6E-409C-BE32-E72D297353CC}">
                <c16:uniqueId val="{00000009-BE2D-8D49-8F49-7851AF1AF858}"/>
              </c:ext>
            </c:extLst>
          </c:dPt>
          <c:dPt>
            <c:idx val="9"/>
            <c:invertIfNegative val="0"/>
            <c:bubble3D val="0"/>
            <c:spPr>
              <a:solidFill>
                <a:srgbClr val="EAB308"/>
              </a:solidFill>
              <a:ln>
                <a:noFill/>
              </a:ln>
              <a:effectLst/>
            </c:spPr>
            <c:extLst>
              <c:ext xmlns:c16="http://schemas.microsoft.com/office/drawing/2014/chart" uri="{C3380CC4-5D6E-409C-BE32-E72D297353CC}">
                <c16:uniqueId val="{0000000A-BE2D-8D49-8F49-7851AF1AF858}"/>
              </c:ext>
            </c:extLst>
          </c:dPt>
          <c:dPt>
            <c:idx val="10"/>
            <c:invertIfNegative val="0"/>
            <c:bubble3D val="0"/>
            <c:spPr>
              <a:solidFill>
                <a:srgbClr val="16A34A"/>
              </a:solidFill>
              <a:ln>
                <a:noFill/>
              </a:ln>
              <a:effectLst/>
            </c:spPr>
            <c:extLst>
              <c:ext xmlns:c16="http://schemas.microsoft.com/office/drawing/2014/chart" uri="{C3380CC4-5D6E-409C-BE32-E72D297353CC}">
                <c16:uniqueId val="{0000000B-BE2D-8D49-8F49-7851AF1AF858}"/>
              </c:ext>
            </c:extLst>
          </c:dPt>
          <c:dPt>
            <c:idx val="11"/>
            <c:invertIfNegative val="0"/>
            <c:bubble3D val="0"/>
            <c:spPr>
              <a:solidFill>
                <a:srgbClr val="EAB308"/>
              </a:solidFill>
              <a:ln>
                <a:noFill/>
              </a:ln>
              <a:effectLst/>
            </c:spPr>
            <c:extLst>
              <c:ext xmlns:c16="http://schemas.microsoft.com/office/drawing/2014/chart" uri="{C3380CC4-5D6E-409C-BE32-E72D297353CC}">
                <c16:uniqueId val="{0000000C-BE2D-8D49-8F49-7851AF1AF8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'05-DCA'!$H$9:$H$20</c:f>
              <c:strCache>
                <c:ptCount val="12"/>
                <c:pt idx="0">
                  <c:v>D-01 MS Entra consent</c:v>
                </c:pt>
                <c:pt idx="1">
                  <c:v>D-02 Graph perms</c:v>
                </c:pt>
                <c:pt idx="2">
                  <c:v>D-03 AWS provisioned</c:v>
                </c:pt>
                <c:pt idx="3">
                  <c:v>D-04 OpenAI key</c:v>
                </c:pt>
                <c:pt idx="4">
                  <c:v>D-05 Langfuse target</c:v>
                </c:pt>
                <c:pt idx="5">
                  <c:v>D-06 Designer window</c:v>
                </c:pt>
                <c:pt idx="6">
                  <c:v>D-07 DE onboard decision</c:v>
                </c:pt>
                <c:pt idx="7">
                  <c:v>D-08 Pilot team nom. (W4)</c:v>
                </c:pt>
                <c:pt idx="8">
                  <c:v>D-09 VN holiday dates</c:v>
                </c:pt>
                <c:pt idx="9">
                  <c:v>D-10 SBOM/SCA in CI</c:v>
                </c:pt>
                <c:pt idx="10">
                  <c:v>D-11 Admin scope sign-off</c:v>
                </c:pt>
                <c:pt idx="11">
                  <c:v>D-12 SES / DNS</c:v>
                </c:pt>
              </c:strCache>
            </c:strRef>
          </c:cat>
          <c:val>
            <c:numRef>
              <c:f>'05-DCA'!$I$9:$I$20</c:f>
              <c:numCache>
                <c:formatCode>General</c:formatCode>
                <c:ptCount val="12"/>
                <c:pt idx="0">
                  <c:v>1</c:v>
                </c:pt>
                <c:pt idx="1">
                  <c:v>2</c:v>
                </c:pt>
                <c:pt idx="2">
                  <c:v>2</c:v>
                </c:pt>
                <c:pt idx="3">
                  <c:v>1</c:v>
                </c:pt>
                <c:pt idx="4">
                  <c:v>1</c:v>
                </c:pt>
                <c:pt idx="5">
                  <c:v>0</c:v>
                </c:pt>
                <c:pt idx="6">
                  <c:v>0</c:v>
                </c:pt>
                <c:pt idx="7">
                  <c:v>4</c:v>
                </c:pt>
                <c:pt idx="8">
                  <c:v>0</c:v>
                </c:pt>
                <c:pt idx="9">
                  <c:v>4</c:v>
                </c:pt>
                <c:pt idx="10">
                  <c:v>8</c:v>
                </c:pt>
                <c:pt idx="11">
                  <c:v>3</c:v>
                </c:pt>
              </c:numCache>
            </c:numRef>
          </c:val>
          <c:extLst>
            <c:ext xmlns:c16="http://schemas.microsoft.com/office/drawing/2014/chart" uri="{C3380CC4-5D6E-409C-BE32-E72D297353CC}">
              <c16:uniqueId val="{00000000-BE2D-8D49-8F49-7851AF1AF858}"/>
            </c:ext>
          </c:extLst>
        </c:ser>
        <c:dLbls>
          <c:showLegendKey val="0"/>
          <c:showVal val="0"/>
          <c:showCatName val="0"/>
          <c:showSerName val="0"/>
          <c:showPercent val="0"/>
          <c:showBubbleSize val="0"/>
        </c:dLbls>
        <c:gapWidth val="182"/>
        <c:axId val="376542464"/>
        <c:axId val="376550976"/>
      </c:barChart>
      <c:catAx>
        <c:axId val="37654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76550976"/>
        <c:crosses val="autoZero"/>
        <c:auto val="1"/>
        <c:lblAlgn val="ctr"/>
        <c:lblOffset val="100"/>
        <c:noMultiLvlLbl val="0"/>
      </c:catAx>
      <c:valAx>
        <c:axId val="37655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7654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Role Allocation Across Tracks (%)</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bar"/>
        <c:grouping val="stacked"/>
        <c:varyColors val="0"/>
        <c:ser>
          <c:idx val="0"/>
          <c:order val="0"/>
          <c:tx>
            <c:strRef>
              <c:f>'06-RACI'!$N$4</c:f>
              <c:strCache>
                <c:ptCount val="1"/>
                <c:pt idx="0">
                  <c:v>Planner</c:v>
                </c:pt>
              </c:strCache>
            </c:strRef>
          </c:tx>
          <c:spPr>
            <a:solidFill>
              <a:srgbClr val="1F4E8A"/>
            </a:solidFill>
            <a:ln>
              <a:noFill/>
            </a:ln>
            <a:effectLst/>
          </c:spPr>
          <c:invertIfNegative val="0"/>
          <c:cat>
            <c:strRef>
              <c:f>'06-RACI'!$M$5:$M$12</c:f>
              <c:strCache>
                <c:ptCount val="8"/>
                <c:pt idx="0">
                  <c:v>PM</c:v>
                </c:pt>
                <c:pt idx="1">
                  <c:v>PO</c:v>
                </c:pt>
                <c:pt idx="2">
                  <c:v>Scrum M</c:v>
                </c:pt>
                <c:pt idx="3">
                  <c:v>AI Eng</c:v>
                </c:pt>
                <c:pt idx="4">
                  <c:v>FS #1</c:v>
                </c:pt>
                <c:pt idx="5">
                  <c:v>FS #2</c:v>
                </c:pt>
                <c:pt idx="6">
                  <c:v>DE</c:v>
                </c:pt>
                <c:pt idx="7">
                  <c:v>Designer</c:v>
                </c:pt>
              </c:strCache>
            </c:strRef>
          </c:cat>
          <c:val>
            <c:numRef>
              <c:f>'06-RACI'!$N$5:$N$12</c:f>
              <c:numCache>
                <c:formatCode>General</c:formatCode>
                <c:ptCount val="8"/>
                <c:pt idx="0">
                  <c:v>20</c:v>
                </c:pt>
                <c:pt idx="1">
                  <c:v>20</c:v>
                </c:pt>
                <c:pt idx="2">
                  <c:v>15</c:v>
                </c:pt>
                <c:pt idx="3">
                  <c:v>40</c:v>
                </c:pt>
                <c:pt idx="4">
                  <c:v>60</c:v>
                </c:pt>
                <c:pt idx="5">
                  <c:v>40</c:v>
                </c:pt>
                <c:pt idx="6">
                  <c:v>30</c:v>
                </c:pt>
                <c:pt idx="7">
                  <c:v>60</c:v>
                </c:pt>
              </c:numCache>
            </c:numRef>
          </c:val>
          <c:extLst>
            <c:ext xmlns:c16="http://schemas.microsoft.com/office/drawing/2014/chart" uri="{C3380CC4-5D6E-409C-BE32-E72D297353CC}">
              <c16:uniqueId val="{00000000-F1B4-E947-BA78-F416FCE1B5C0}"/>
            </c:ext>
          </c:extLst>
        </c:ser>
        <c:ser>
          <c:idx val="1"/>
          <c:order val="1"/>
          <c:tx>
            <c:strRef>
              <c:f>'06-RACI'!$O$4</c:f>
              <c:strCache>
                <c:ptCount val="1"/>
                <c:pt idx="0">
                  <c:v>Core BE</c:v>
                </c:pt>
              </c:strCache>
            </c:strRef>
          </c:tx>
          <c:spPr>
            <a:solidFill>
              <a:srgbClr val="2563EB"/>
            </a:solidFill>
            <a:ln>
              <a:noFill/>
            </a:ln>
            <a:effectLst/>
          </c:spPr>
          <c:invertIfNegative val="0"/>
          <c:cat>
            <c:strRef>
              <c:f>'06-RACI'!$M$5:$M$12</c:f>
              <c:strCache>
                <c:ptCount val="8"/>
                <c:pt idx="0">
                  <c:v>PM</c:v>
                </c:pt>
                <c:pt idx="1">
                  <c:v>PO</c:v>
                </c:pt>
                <c:pt idx="2">
                  <c:v>Scrum M</c:v>
                </c:pt>
                <c:pt idx="3">
                  <c:v>AI Eng</c:v>
                </c:pt>
                <c:pt idx="4">
                  <c:v>FS #1</c:v>
                </c:pt>
                <c:pt idx="5">
                  <c:v>FS #2</c:v>
                </c:pt>
                <c:pt idx="6">
                  <c:v>DE</c:v>
                </c:pt>
                <c:pt idx="7">
                  <c:v>Designer</c:v>
                </c:pt>
              </c:strCache>
            </c:strRef>
          </c:cat>
          <c:val>
            <c:numRef>
              <c:f>'06-RACI'!$O$5:$O$12</c:f>
              <c:numCache>
                <c:formatCode>General</c:formatCode>
                <c:ptCount val="8"/>
                <c:pt idx="0">
                  <c:v>10</c:v>
                </c:pt>
                <c:pt idx="1">
                  <c:v>5</c:v>
                </c:pt>
                <c:pt idx="2">
                  <c:v>10</c:v>
                </c:pt>
                <c:pt idx="3">
                  <c:v>0</c:v>
                </c:pt>
                <c:pt idx="4">
                  <c:v>10</c:v>
                </c:pt>
                <c:pt idx="5">
                  <c:v>30</c:v>
                </c:pt>
                <c:pt idx="6">
                  <c:v>10</c:v>
                </c:pt>
                <c:pt idx="7">
                  <c:v>0</c:v>
                </c:pt>
              </c:numCache>
            </c:numRef>
          </c:val>
          <c:extLst>
            <c:ext xmlns:c16="http://schemas.microsoft.com/office/drawing/2014/chart" uri="{C3380CC4-5D6E-409C-BE32-E72D297353CC}">
              <c16:uniqueId val="{00000001-F1B4-E947-BA78-F416FCE1B5C0}"/>
            </c:ext>
          </c:extLst>
        </c:ser>
        <c:ser>
          <c:idx val="2"/>
          <c:order val="2"/>
          <c:tx>
            <c:strRef>
              <c:f>'06-RACI'!$P$4</c:f>
              <c:strCache>
                <c:ptCount val="1"/>
                <c:pt idx="0">
                  <c:v>Core FE</c:v>
                </c:pt>
              </c:strCache>
            </c:strRef>
          </c:tx>
          <c:spPr>
            <a:solidFill>
              <a:srgbClr val="60A5FA"/>
            </a:solidFill>
            <a:ln>
              <a:noFill/>
            </a:ln>
            <a:effectLst/>
          </c:spPr>
          <c:invertIfNegative val="0"/>
          <c:cat>
            <c:strRef>
              <c:f>'06-RACI'!$M$5:$M$12</c:f>
              <c:strCache>
                <c:ptCount val="8"/>
                <c:pt idx="0">
                  <c:v>PM</c:v>
                </c:pt>
                <c:pt idx="1">
                  <c:v>PO</c:v>
                </c:pt>
                <c:pt idx="2">
                  <c:v>Scrum M</c:v>
                </c:pt>
                <c:pt idx="3">
                  <c:v>AI Eng</c:v>
                </c:pt>
                <c:pt idx="4">
                  <c:v>FS #1</c:v>
                </c:pt>
                <c:pt idx="5">
                  <c:v>FS #2</c:v>
                </c:pt>
                <c:pt idx="6">
                  <c:v>DE</c:v>
                </c:pt>
                <c:pt idx="7">
                  <c:v>Designer</c:v>
                </c:pt>
              </c:strCache>
            </c:strRef>
          </c:cat>
          <c:val>
            <c:numRef>
              <c:f>'06-RACI'!$P$5:$P$12</c:f>
              <c:numCache>
                <c:formatCode>General</c:formatCode>
                <c:ptCount val="8"/>
                <c:pt idx="0">
                  <c:v>10</c:v>
                </c:pt>
                <c:pt idx="1">
                  <c:v>5</c:v>
                </c:pt>
                <c:pt idx="2">
                  <c:v>10</c:v>
                </c:pt>
                <c:pt idx="3">
                  <c:v>0</c:v>
                </c:pt>
                <c:pt idx="4">
                  <c:v>20</c:v>
                </c:pt>
                <c:pt idx="5">
                  <c:v>20</c:v>
                </c:pt>
                <c:pt idx="6">
                  <c:v>0</c:v>
                </c:pt>
                <c:pt idx="7">
                  <c:v>40</c:v>
                </c:pt>
              </c:numCache>
            </c:numRef>
          </c:val>
          <c:extLst>
            <c:ext xmlns:c16="http://schemas.microsoft.com/office/drawing/2014/chart" uri="{C3380CC4-5D6E-409C-BE32-E72D297353CC}">
              <c16:uniqueId val="{00000002-F1B4-E947-BA78-F416FCE1B5C0}"/>
            </c:ext>
          </c:extLst>
        </c:ser>
        <c:ser>
          <c:idx val="3"/>
          <c:order val="3"/>
          <c:tx>
            <c:strRef>
              <c:f>'06-RACI'!$Q$4</c:f>
              <c:strCache>
                <c:ptCount val="1"/>
                <c:pt idx="0">
                  <c:v>Core AI</c:v>
                </c:pt>
              </c:strCache>
            </c:strRef>
          </c:tx>
          <c:spPr>
            <a:solidFill>
              <a:srgbClr val="93C5FD"/>
            </a:solidFill>
            <a:ln>
              <a:noFill/>
            </a:ln>
            <a:effectLst/>
          </c:spPr>
          <c:invertIfNegative val="0"/>
          <c:cat>
            <c:strRef>
              <c:f>'06-RACI'!$M$5:$M$12</c:f>
              <c:strCache>
                <c:ptCount val="8"/>
                <c:pt idx="0">
                  <c:v>PM</c:v>
                </c:pt>
                <c:pt idx="1">
                  <c:v>PO</c:v>
                </c:pt>
                <c:pt idx="2">
                  <c:v>Scrum M</c:v>
                </c:pt>
                <c:pt idx="3">
                  <c:v>AI Eng</c:v>
                </c:pt>
                <c:pt idx="4">
                  <c:v>FS #1</c:v>
                </c:pt>
                <c:pt idx="5">
                  <c:v>FS #2</c:v>
                </c:pt>
                <c:pt idx="6">
                  <c:v>DE</c:v>
                </c:pt>
                <c:pt idx="7">
                  <c:v>Designer</c:v>
                </c:pt>
              </c:strCache>
            </c:strRef>
          </c:cat>
          <c:val>
            <c:numRef>
              <c:f>'06-RACI'!$Q$5:$Q$12</c:f>
              <c:numCache>
                <c:formatCode>General</c:formatCode>
                <c:ptCount val="8"/>
                <c:pt idx="0">
                  <c:v>10</c:v>
                </c:pt>
                <c:pt idx="1">
                  <c:v>5</c:v>
                </c:pt>
                <c:pt idx="2">
                  <c:v>15</c:v>
                </c:pt>
                <c:pt idx="3">
                  <c:v>60</c:v>
                </c:pt>
                <c:pt idx="4">
                  <c:v>10</c:v>
                </c:pt>
                <c:pt idx="5">
                  <c:v>10</c:v>
                </c:pt>
                <c:pt idx="6">
                  <c:v>0</c:v>
                </c:pt>
                <c:pt idx="7">
                  <c:v>0</c:v>
                </c:pt>
              </c:numCache>
            </c:numRef>
          </c:val>
          <c:extLst>
            <c:ext xmlns:c16="http://schemas.microsoft.com/office/drawing/2014/chart" uri="{C3380CC4-5D6E-409C-BE32-E72D297353CC}">
              <c16:uniqueId val="{00000003-F1B4-E947-BA78-F416FCE1B5C0}"/>
            </c:ext>
          </c:extLst>
        </c:ser>
        <c:ser>
          <c:idx val="4"/>
          <c:order val="4"/>
          <c:tx>
            <c:strRef>
              <c:f>'06-RACI'!$R$4</c:f>
              <c:strCache>
                <c:ptCount val="1"/>
                <c:pt idx="0">
                  <c:v>Governance</c:v>
                </c:pt>
              </c:strCache>
            </c:strRef>
          </c:tx>
          <c:spPr>
            <a:solidFill>
              <a:srgbClr val="9CA3AF"/>
            </a:solidFill>
            <a:ln>
              <a:noFill/>
            </a:ln>
            <a:effectLst/>
          </c:spPr>
          <c:invertIfNegative val="0"/>
          <c:cat>
            <c:strRef>
              <c:f>'06-RACI'!$M$5:$M$12</c:f>
              <c:strCache>
                <c:ptCount val="8"/>
                <c:pt idx="0">
                  <c:v>PM</c:v>
                </c:pt>
                <c:pt idx="1">
                  <c:v>PO</c:v>
                </c:pt>
                <c:pt idx="2">
                  <c:v>Scrum M</c:v>
                </c:pt>
                <c:pt idx="3">
                  <c:v>AI Eng</c:v>
                </c:pt>
                <c:pt idx="4">
                  <c:v>FS #1</c:v>
                </c:pt>
                <c:pt idx="5">
                  <c:v>FS #2</c:v>
                </c:pt>
                <c:pt idx="6">
                  <c:v>DE</c:v>
                </c:pt>
                <c:pt idx="7">
                  <c:v>Designer</c:v>
                </c:pt>
              </c:strCache>
            </c:strRef>
          </c:cat>
          <c:val>
            <c:numRef>
              <c:f>'06-RACI'!$R$5:$R$12</c:f>
              <c:numCache>
                <c:formatCode>General</c:formatCode>
                <c:ptCount val="8"/>
                <c:pt idx="0">
                  <c:v>50</c:v>
                </c:pt>
                <c:pt idx="1">
                  <c:v>65</c:v>
                </c:pt>
                <c:pt idx="2">
                  <c:v>50</c:v>
                </c:pt>
                <c:pt idx="3">
                  <c:v>0</c:v>
                </c:pt>
                <c:pt idx="4">
                  <c:v>0</c:v>
                </c:pt>
                <c:pt idx="5">
                  <c:v>0</c:v>
                </c:pt>
                <c:pt idx="6">
                  <c:v>0</c:v>
                </c:pt>
                <c:pt idx="7">
                  <c:v>0</c:v>
                </c:pt>
              </c:numCache>
            </c:numRef>
          </c:val>
          <c:extLst>
            <c:ext xmlns:c16="http://schemas.microsoft.com/office/drawing/2014/chart" uri="{C3380CC4-5D6E-409C-BE32-E72D297353CC}">
              <c16:uniqueId val="{00000004-F1B4-E947-BA78-F416FCE1B5C0}"/>
            </c:ext>
          </c:extLst>
        </c:ser>
        <c:ser>
          <c:idx val="5"/>
          <c:order val="5"/>
          <c:tx>
            <c:strRef>
              <c:f>'06-RACI'!$S$4</c:f>
              <c:strCache>
                <c:ptCount val="1"/>
                <c:pt idx="0">
                  <c:v>BA discovery</c:v>
                </c:pt>
              </c:strCache>
            </c:strRef>
          </c:tx>
          <c:spPr>
            <a:solidFill>
              <a:srgbClr val="F59E0B"/>
            </a:solidFill>
            <a:ln>
              <a:noFill/>
            </a:ln>
            <a:effectLst/>
          </c:spPr>
          <c:invertIfNegative val="0"/>
          <c:cat>
            <c:strRef>
              <c:f>'06-RACI'!$M$5:$M$12</c:f>
              <c:strCache>
                <c:ptCount val="8"/>
                <c:pt idx="0">
                  <c:v>PM</c:v>
                </c:pt>
                <c:pt idx="1">
                  <c:v>PO</c:v>
                </c:pt>
                <c:pt idx="2">
                  <c:v>Scrum M</c:v>
                </c:pt>
                <c:pt idx="3">
                  <c:v>AI Eng</c:v>
                </c:pt>
                <c:pt idx="4">
                  <c:v>FS #1</c:v>
                </c:pt>
                <c:pt idx="5">
                  <c:v>FS #2</c:v>
                </c:pt>
                <c:pt idx="6">
                  <c:v>DE</c:v>
                </c:pt>
                <c:pt idx="7">
                  <c:v>Designer</c:v>
                </c:pt>
              </c:strCache>
            </c:strRef>
          </c:cat>
          <c:val>
            <c:numRef>
              <c:f>'06-RACI'!$S$5:$S$12</c:f>
              <c:numCache>
                <c:formatCode>General</c:formatCode>
                <c:ptCount val="8"/>
                <c:pt idx="0">
                  <c:v>0</c:v>
                </c:pt>
                <c:pt idx="1">
                  <c:v>0</c:v>
                </c:pt>
                <c:pt idx="2">
                  <c:v>0</c:v>
                </c:pt>
                <c:pt idx="3">
                  <c:v>0</c:v>
                </c:pt>
                <c:pt idx="4">
                  <c:v>0</c:v>
                </c:pt>
                <c:pt idx="5">
                  <c:v>0</c:v>
                </c:pt>
                <c:pt idx="6">
                  <c:v>60</c:v>
                </c:pt>
                <c:pt idx="7">
                  <c:v>0</c:v>
                </c:pt>
              </c:numCache>
            </c:numRef>
          </c:val>
          <c:extLst>
            <c:ext xmlns:c16="http://schemas.microsoft.com/office/drawing/2014/chart" uri="{C3380CC4-5D6E-409C-BE32-E72D297353CC}">
              <c16:uniqueId val="{00000005-F1B4-E947-BA78-F416FCE1B5C0}"/>
            </c:ext>
          </c:extLst>
        </c:ser>
        <c:dLbls>
          <c:showLegendKey val="0"/>
          <c:showVal val="0"/>
          <c:showCatName val="0"/>
          <c:showSerName val="0"/>
          <c:showPercent val="0"/>
          <c:showBubbleSize val="0"/>
        </c:dLbls>
        <c:gapWidth val="150"/>
        <c:overlap val="100"/>
        <c:axId val="343256896"/>
        <c:axId val="304652608"/>
      </c:barChart>
      <c:catAx>
        <c:axId val="34325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04652608"/>
        <c:crosses val="autoZero"/>
        <c:auto val="1"/>
        <c:lblAlgn val="ctr"/>
        <c:lblOffset val="100"/>
        <c:noMultiLvlLbl val="0"/>
      </c:catAx>
      <c:valAx>
        <c:axId val="304652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43256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a:t>Risk Register — Count by Score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manualLayout>
          <c:layoutTarget val="inner"/>
          <c:xMode val="edge"/>
          <c:yMode val="edge"/>
          <c:x val="2.7749968753905764E-2"/>
          <c:y val="0.12275541795665634"/>
          <c:w val="0.97225003124609422"/>
          <c:h val="0.82092879256965945"/>
        </c:manualLayout>
      </c:layout>
      <c:barChart>
        <c:barDir val="col"/>
        <c:grouping val="clustered"/>
        <c:varyColors val="0"/>
        <c:ser>
          <c:idx val="0"/>
          <c:order val="0"/>
          <c:tx>
            <c:strRef>
              <c:f>'07-Risks'!$M$5</c:f>
              <c:strCache>
                <c:ptCount val="1"/>
                <c:pt idx="0">
                  <c:v>Count</c:v>
                </c:pt>
              </c:strCache>
            </c:strRef>
          </c:tx>
          <c:spPr>
            <a:solidFill>
              <a:schemeClr val="accent1"/>
            </a:solidFill>
            <a:ln>
              <a:noFill/>
            </a:ln>
            <a:effectLst/>
          </c:spPr>
          <c:invertIfNegative val="0"/>
          <c:dPt>
            <c:idx val="0"/>
            <c:invertIfNegative val="0"/>
            <c:bubble3D val="0"/>
            <c:spPr>
              <a:solidFill>
                <a:srgbClr val="DC2626"/>
              </a:solidFill>
              <a:ln>
                <a:noFill/>
              </a:ln>
              <a:effectLst/>
            </c:spPr>
            <c:extLst>
              <c:ext xmlns:c16="http://schemas.microsoft.com/office/drawing/2014/chart" uri="{C3380CC4-5D6E-409C-BE32-E72D297353CC}">
                <c16:uniqueId val="{00000001-4B01-8841-9963-DF12CBB00928}"/>
              </c:ext>
            </c:extLst>
          </c:dPt>
          <c:dPt>
            <c:idx val="1"/>
            <c:invertIfNegative val="0"/>
            <c:bubble3D val="0"/>
            <c:spPr>
              <a:solidFill>
                <a:srgbClr val="F97316"/>
              </a:solidFill>
              <a:ln>
                <a:noFill/>
              </a:ln>
              <a:effectLst/>
            </c:spPr>
            <c:extLst>
              <c:ext xmlns:c16="http://schemas.microsoft.com/office/drawing/2014/chart" uri="{C3380CC4-5D6E-409C-BE32-E72D297353CC}">
                <c16:uniqueId val="{00000002-4B01-8841-9963-DF12CBB00928}"/>
              </c:ext>
            </c:extLst>
          </c:dPt>
          <c:dPt>
            <c:idx val="2"/>
            <c:invertIfNegative val="0"/>
            <c:bubble3D val="0"/>
            <c:spPr>
              <a:solidFill>
                <a:srgbClr val="EAB308"/>
              </a:solidFill>
              <a:ln>
                <a:noFill/>
              </a:ln>
              <a:effectLst/>
            </c:spPr>
            <c:extLst>
              <c:ext xmlns:c16="http://schemas.microsoft.com/office/drawing/2014/chart" uri="{C3380CC4-5D6E-409C-BE32-E72D297353CC}">
                <c16:uniqueId val="{00000003-4B01-8841-9963-DF12CBB00928}"/>
              </c:ext>
            </c:extLst>
          </c:dPt>
          <c:dPt>
            <c:idx val="3"/>
            <c:invertIfNegative val="0"/>
            <c:bubble3D val="0"/>
            <c:spPr>
              <a:solidFill>
                <a:srgbClr val="16A34A"/>
              </a:solidFill>
              <a:ln>
                <a:noFill/>
              </a:ln>
              <a:effectLst/>
            </c:spPr>
            <c:extLst>
              <c:ext xmlns:c16="http://schemas.microsoft.com/office/drawing/2014/chart" uri="{C3380CC4-5D6E-409C-BE32-E72D297353CC}">
                <c16:uniqueId val="{00000004-4B01-8841-9963-DF12CBB009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'07-Risks'!$L$6:$L$9</c:f>
              <c:strCache>
                <c:ptCount val="4"/>
                <c:pt idx="0">
                  <c:v>H+</c:v>
                </c:pt>
                <c:pt idx="1">
                  <c:v>H</c:v>
                </c:pt>
                <c:pt idx="2">
                  <c:v>M</c:v>
                </c:pt>
                <c:pt idx="3">
                  <c:v>L</c:v>
                </c:pt>
              </c:strCache>
            </c:strRef>
          </c:cat>
          <c:val>
            <c:numRef>
              <c:f>'07-Risks'!$M$6:$M$9</c:f>
              <c:numCache>
                <c:formatCode>General</c:formatCode>
                <c:ptCount val="4"/>
                <c:pt idx="0">
                  <c:v>3</c:v>
                </c:pt>
                <c:pt idx="1">
                  <c:v>2</c:v>
                </c:pt>
                <c:pt idx="2">
                  <c:v>12</c:v>
                </c:pt>
                <c:pt idx="3">
                  <c:v>0</c:v>
                </c:pt>
              </c:numCache>
            </c:numRef>
          </c:val>
          <c:extLst>
            <c:ext xmlns:c16="http://schemas.microsoft.com/office/drawing/2014/chart" uri="{C3380CC4-5D6E-409C-BE32-E72D297353CC}">
              <c16:uniqueId val="{00000000-4B01-8841-9963-DF12CBB00928}"/>
            </c:ext>
          </c:extLst>
        </c:ser>
        <c:dLbls>
          <c:showLegendKey val="0"/>
          <c:showVal val="0"/>
          <c:showCatName val="0"/>
          <c:showSerName val="0"/>
          <c:showPercent val="0"/>
          <c:showBubbleSize val="0"/>
        </c:dLbls>
        <c:gapWidth val="219"/>
        <c:overlap val="-27"/>
        <c:axId val="304653952"/>
        <c:axId val="244869184"/>
      </c:barChart>
      <c:catAx>
        <c:axId val="30465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44869184"/>
        <c:crosses val="autoZero"/>
        <c:auto val="1"/>
        <c:lblAlgn val="ctr"/>
        <c:lblOffset val="100"/>
        <c:noMultiLvlLbl val="0"/>
      </c:catAx>
      <c:valAx>
        <c:axId val="24486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0465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Test Pyramid (Target Mix)</cx:v>
        </cx:txData>
      </cx:tx>
      <cx:txPr>
        <a:bodyPr vertOverflow="overflow" horzOverflow="overflow" wrap="square" lIns="0" tIns="0" rIns="0" bIns="0"/>
        <a:lstStyle/>
        <a:p>
          <a:pPr algn="ctr" rtl="0">
            <a:defRPr sz="12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lang="en-US" sz="1200" b="1"/>
            <a:t>Test Pyramid (Target Mix)</a:t>
          </a:r>
        </a:p>
      </cx:txPr>
    </cx:title>
    <cx:plotArea>
      <cx:plotAreaRegion>
        <cx:series layoutId="funnel" uniqueId="{EED5941A-4D32-084C-BCAE-D61B46E09F11}">
          <cx:tx>
            <cx:txData>
              <cx:f>_xlchart.v2.1</cx:f>
              <cx:v>% of Suite</cx:v>
            </cx:txData>
          </cx:tx>
          <cx:dataPt idx="0">
            <cx:spPr>
              <a:solidFill>
                <a:srgbClr val="1F4E8A"/>
              </a:solidFill>
            </cx:spPr>
          </cx:dataPt>
          <cx:dataPt idx="1">
            <cx:spPr>
              <a:solidFill>
                <a:srgbClr val="2563EB"/>
              </a:solidFill>
            </cx:spPr>
          </cx:dataPt>
          <cx:dataPt idx="2">
            <cx:spPr>
              <a:solidFill>
                <a:srgbClr val="60A5FA"/>
              </a:solidFill>
            </cx:spPr>
          </cx:dataPt>
          <cx:dataPt idx="3">
            <cx:spPr>
              <a:solidFill>
                <a:srgbClr val="93C5FD"/>
              </a:solidFill>
            </cx:spPr>
          </cx:dataPt>
          <cx:dataLabels>
            <cx:visibility seriesName="0" categoryName="1"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12700</xdr:rowOff>
    </xdr:from>
    <xdr:to>
      <xdr:col>16</xdr:col>
      <xdr:colOff>25400</xdr:colOff>
      <xdr:row>15</xdr:row>
      <xdr:rowOff>990600</xdr:rowOff>
    </xdr:to>
    <xdr:graphicFrame macro="">
      <xdr:nvGraphicFramePr>
        <xdr:cNvPr id="2" name="EffortRollup">
          <a:extLst>
            <a:ext uri="{FF2B5EF4-FFF2-40B4-BE49-F238E27FC236}">
              <a16:creationId xmlns:a16="http://schemas.microsoft.com/office/drawing/2014/main" id="{C341F9DB-1C47-2FE5-CCBC-DD3784BC4B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33</xdr:row>
      <xdr:rowOff>0</xdr:rowOff>
    </xdr:from>
    <xdr:to>
      <xdr:col>10</xdr:col>
      <xdr:colOff>0</xdr:colOff>
      <xdr:row>49</xdr:row>
      <xdr:rowOff>0</xdr:rowOff>
    </xdr:to>
    <xdr:graphicFrame macro="">
      <xdr:nvGraphicFramePr>
        <xdr:cNvPr id="24" name="SprintVelocity">
          <a:extLst>
            <a:ext uri="{FF2B5EF4-FFF2-40B4-BE49-F238E27FC236}">
              <a16:creationId xmlns:a16="http://schemas.microsoft.com/office/drawing/2014/main" id="{335E296F-0198-F566-77E1-05741823F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63</xdr:row>
      <xdr:rowOff>0</xdr:rowOff>
    </xdr:from>
    <xdr:to>
      <xdr:col>5</xdr:col>
      <xdr:colOff>0</xdr:colOff>
      <xdr:row>81</xdr:row>
      <xdr:rowOff>0</xdr:rowOff>
    </xdr:to>
    <mc:AlternateContent xmlns:mc="http://schemas.openxmlformats.org/markup-compatibility/2006">
      <mc:Choice xmlns:cx2="http://schemas.microsoft.com/office/drawing/2015/10/21/chartex" Requires="cx2">
        <xdr:graphicFrame macro="">
          <xdr:nvGraphicFramePr>
            <xdr:cNvPr id="25" name="TestPyramid">
              <a:extLst>
                <a:ext uri="{FF2B5EF4-FFF2-40B4-BE49-F238E27FC236}">
                  <a16:creationId xmlns:a16="http://schemas.microsoft.com/office/drawing/2014/main" id="{E75DE3F7-86A1-CE94-8E31-AF8A8D56AE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20358100"/>
              <a:ext cx="18288000" cy="4229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38100</xdr:colOff>
      <xdr:row>138</xdr:row>
      <xdr:rowOff>38100</xdr:rowOff>
    </xdr:from>
    <xdr:to>
      <xdr:col>5</xdr:col>
      <xdr:colOff>38100</xdr:colOff>
      <xdr:row>164</xdr:row>
      <xdr:rowOff>38100</xdr:rowOff>
    </xdr:to>
    <xdr:graphicFrame macro="">
      <xdr:nvGraphicFramePr>
        <xdr:cNvPr id="26" name="AIImpact">
          <a:extLst>
            <a:ext uri="{FF2B5EF4-FFF2-40B4-BE49-F238E27FC236}">
              <a16:creationId xmlns:a16="http://schemas.microsoft.com/office/drawing/2014/main" id="{95432D58-7942-CB1E-7ED5-2B833D18E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304800</xdr:colOff>
      <xdr:row>6</xdr:row>
      <xdr:rowOff>152400</xdr:rowOff>
    </xdr:from>
    <xdr:to>
      <xdr:col>26</xdr:col>
      <xdr:colOff>177800</xdr:colOff>
      <xdr:row>39</xdr:row>
      <xdr:rowOff>114300</xdr:rowOff>
    </xdr:to>
    <xdr:graphicFrame macro="">
      <xdr:nvGraphicFramePr>
        <xdr:cNvPr id="3" name="Gantt Chart">
          <a:extLst>
            <a:ext uri="{FF2B5EF4-FFF2-40B4-BE49-F238E27FC236}">
              <a16:creationId xmlns:a16="http://schemas.microsoft.com/office/drawing/2014/main" id="{DD352030-7699-3397-3356-22148DC04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65616</xdr:colOff>
      <xdr:row>7</xdr:row>
      <xdr:rowOff>63500</xdr:rowOff>
    </xdr:from>
    <xdr:to>
      <xdr:col>10</xdr:col>
      <xdr:colOff>65616</xdr:colOff>
      <xdr:row>34</xdr:row>
      <xdr:rowOff>139700</xdr:rowOff>
    </xdr:to>
    <xdr:cxnSp macro="">
      <xdr:nvCxnSpPr>
        <xdr:cNvPr id="5" name="milestone-line-0">
          <a:extLst>
            <a:ext uri="{FF2B5EF4-FFF2-40B4-BE49-F238E27FC236}">
              <a16:creationId xmlns:a16="http://schemas.microsoft.com/office/drawing/2014/main" id="{1EBD5A90-990E-614A-9664-C32E70383FA3}"/>
            </a:ext>
          </a:extLst>
        </xdr:cNvPr>
        <xdr:cNvCxnSpPr/>
      </xdr:nvCxnSpPr>
      <xdr:spPr>
        <a:xfrm>
          <a:off x="10416116" y="1993900"/>
          <a:ext cx="0" cy="6337300"/>
        </a:xfrm>
        <a:prstGeom prst="straightConnector1">
          <a:avLst/>
        </a:prstGeom>
        <a:noFill/>
        <a:ln w="9525" cap="flat" cmpd="sng" algn="ctr">
          <a:solidFill>
            <a:srgbClr val="424242"/>
          </a:solidFill>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154516</xdr:colOff>
      <xdr:row>35</xdr:row>
      <xdr:rowOff>63500</xdr:rowOff>
    </xdr:from>
    <xdr:to>
      <xdr:col>11</xdr:col>
      <xdr:colOff>154516</xdr:colOff>
      <xdr:row>36</xdr:row>
      <xdr:rowOff>106205</xdr:rowOff>
    </xdr:to>
    <xdr:sp macro="" textlink="">
      <xdr:nvSpPr>
        <xdr:cNvPr id="6" name="milestone-label-0">
          <a:extLst>
            <a:ext uri="{FF2B5EF4-FFF2-40B4-BE49-F238E27FC236}">
              <a16:creationId xmlns:a16="http://schemas.microsoft.com/office/drawing/2014/main" id="{FD246959-591F-7798-486B-B96CC4F748A7}"/>
            </a:ext>
          </a:extLst>
        </xdr:cNvPr>
        <xdr:cNvSpPr txBox="1"/>
      </xdr:nvSpPr>
      <xdr:spPr>
        <a:xfrm>
          <a:off x="9806516" y="8445500"/>
          <a:ext cx="1397000" cy="233205"/>
        </a:xfrm>
        <a:prstGeom prst="rect">
          <a:avLst/>
        </a:prstGeom>
        <a:noFill/>
        <a:ln>
          <a:solidFill>
            <a:prstClr val="black"/>
          </a:solidFill>
        </a:ln>
      </xdr:spPr>
      <xdr:txBody>
        <a:bodyPr vertOverflow="overflow" vert="horz" wrap="square" rtlCol="0" anchor="t">
          <a:spAutoFit/>
        </a:bodyPr>
        <a:lstStyle/>
        <a:p>
          <a:pPr algn="ctr"/>
          <a:r>
            <a:rPr kumimoji="0" lang="en-US" sz="900" b="1" i="0" u="none" strike="noStrike" kern="0" cap="none" spc="0" normalizeH="0" baseline="0" noProof="0">
              <a:ln>
                <a:noFill/>
              </a:ln>
              <a:solidFill>
                <a:srgbClr val="424242"/>
              </a:solidFill>
              <a:effectLst/>
              <a:uLnTx/>
              <a:uFillTx/>
              <a:latin typeface="Calibri"/>
            </a:rPr>
            <a:t>Start (24 Apr)</a:t>
          </a:r>
        </a:p>
      </xdr:txBody>
    </xdr:sp>
    <xdr:clientData/>
  </xdr:twoCellAnchor>
  <xdr:twoCellAnchor>
    <xdr:from>
      <xdr:col>17</xdr:col>
      <xdr:colOff>204258</xdr:colOff>
      <xdr:row>7</xdr:row>
      <xdr:rowOff>190500</xdr:rowOff>
    </xdr:from>
    <xdr:to>
      <xdr:col>17</xdr:col>
      <xdr:colOff>204258</xdr:colOff>
      <xdr:row>35</xdr:row>
      <xdr:rowOff>76200</xdr:rowOff>
    </xdr:to>
    <xdr:cxnSp macro="">
      <xdr:nvCxnSpPr>
        <xdr:cNvPr id="7" name="milestone-line-1">
          <a:extLst>
            <a:ext uri="{FF2B5EF4-FFF2-40B4-BE49-F238E27FC236}">
              <a16:creationId xmlns:a16="http://schemas.microsoft.com/office/drawing/2014/main" id="{31B2124D-998C-AD47-98D3-25C2E4B89113}"/>
            </a:ext>
          </a:extLst>
        </xdr:cNvPr>
        <xdr:cNvCxnSpPr/>
      </xdr:nvCxnSpPr>
      <xdr:spPr>
        <a:xfrm>
          <a:off x="15825258" y="2120900"/>
          <a:ext cx="0" cy="6337300"/>
        </a:xfrm>
        <a:prstGeom prst="straightConnector1">
          <a:avLst/>
        </a:prstGeom>
        <a:noFill/>
        <a:ln w="9525" cap="flat" cmpd="sng" algn="ctr">
          <a:solidFill>
            <a:srgbClr val="2E7D32"/>
          </a:solidFill>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394758</xdr:colOff>
      <xdr:row>35</xdr:row>
      <xdr:rowOff>88900</xdr:rowOff>
    </xdr:from>
    <xdr:to>
      <xdr:col>18</xdr:col>
      <xdr:colOff>140758</xdr:colOff>
      <xdr:row>36</xdr:row>
      <xdr:rowOff>127000</xdr:rowOff>
    </xdr:to>
    <xdr:sp macro="" textlink="">
      <xdr:nvSpPr>
        <xdr:cNvPr id="8" name="milestone-label-1">
          <a:extLst>
            <a:ext uri="{FF2B5EF4-FFF2-40B4-BE49-F238E27FC236}">
              <a16:creationId xmlns:a16="http://schemas.microsoft.com/office/drawing/2014/main" id="{9CAB9DE7-12E4-939E-5385-ED5E058B5043}"/>
            </a:ext>
          </a:extLst>
        </xdr:cNvPr>
        <xdr:cNvSpPr txBox="1"/>
      </xdr:nvSpPr>
      <xdr:spPr>
        <a:xfrm>
          <a:off x="15190258" y="8470900"/>
          <a:ext cx="1397000" cy="228600"/>
        </a:xfrm>
        <a:prstGeom prst="rect">
          <a:avLst/>
        </a:prstGeom>
        <a:noFill/>
        <a:ln>
          <a:solidFill>
            <a:prstClr val="black"/>
          </a:solidFill>
        </a:ln>
      </xdr:spPr>
      <xdr:txBody>
        <a:bodyPr vertOverflow="overflow" vert="horz" wrap="square" rtlCol="0" anchor="t">
          <a:spAutoFit/>
        </a:bodyPr>
        <a:lstStyle/>
        <a:p>
          <a:pPr algn="ctr"/>
          <a:r>
            <a:rPr kumimoji="0" lang="en-US" sz="900" b="1" i="0" u="none" strike="noStrike" kern="0" cap="none" spc="0" normalizeH="0" baseline="0" noProof="0">
              <a:ln>
                <a:noFill/>
              </a:ln>
              <a:solidFill>
                <a:srgbClr val="2E7D32"/>
              </a:solidFill>
              <a:effectLst/>
              <a:uLnTx/>
              <a:uFillTx/>
              <a:latin typeface="Calibri"/>
            </a:rPr>
            <a:t>Demo M1 (17 May)</a:t>
          </a:r>
        </a:p>
      </xdr:txBody>
    </xdr:sp>
    <xdr:clientData/>
  </xdr:twoCellAnchor>
  <xdr:twoCellAnchor>
    <xdr:from>
      <xdr:col>23</xdr:col>
      <xdr:colOff>241300</xdr:colOff>
      <xdr:row>7</xdr:row>
      <xdr:rowOff>50800</xdr:rowOff>
    </xdr:from>
    <xdr:to>
      <xdr:col>23</xdr:col>
      <xdr:colOff>241300</xdr:colOff>
      <xdr:row>34</xdr:row>
      <xdr:rowOff>127000</xdr:rowOff>
    </xdr:to>
    <xdr:cxnSp macro="">
      <xdr:nvCxnSpPr>
        <xdr:cNvPr id="9" name="milestone-line-2">
          <a:extLst>
            <a:ext uri="{FF2B5EF4-FFF2-40B4-BE49-F238E27FC236}">
              <a16:creationId xmlns:a16="http://schemas.microsoft.com/office/drawing/2014/main" id="{59B9F262-B0F2-5249-B628-893A47E7D9EE}"/>
            </a:ext>
          </a:extLst>
        </xdr:cNvPr>
        <xdr:cNvCxnSpPr/>
      </xdr:nvCxnSpPr>
      <xdr:spPr>
        <a:xfrm>
          <a:off x="20815300" y="1981200"/>
          <a:ext cx="0" cy="6337300"/>
        </a:xfrm>
        <a:prstGeom prst="straightConnector1">
          <a:avLst/>
        </a:prstGeom>
        <a:noFill/>
        <a:ln w="9525" cap="flat" cmpd="sng" algn="ctr">
          <a:solidFill>
            <a:srgbClr val="C62828"/>
          </a:solidFill>
          <a:prstDash val="dash"/>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393700</xdr:colOff>
      <xdr:row>35</xdr:row>
      <xdr:rowOff>63500</xdr:rowOff>
    </xdr:from>
    <xdr:to>
      <xdr:col>24</xdr:col>
      <xdr:colOff>139700</xdr:colOff>
      <xdr:row>36</xdr:row>
      <xdr:rowOff>101600</xdr:rowOff>
    </xdr:to>
    <xdr:sp macro="" textlink="">
      <xdr:nvSpPr>
        <xdr:cNvPr id="10" name="milestone-label-2">
          <a:extLst>
            <a:ext uri="{FF2B5EF4-FFF2-40B4-BE49-F238E27FC236}">
              <a16:creationId xmlns:a16="http://schemas.microsoft.com/office/drawing/2014/main" id="{C09A6FE3-A6E5-4725-AA0E-2384FE05F8D1}"/>
            </a:ext>
          </a:extLst>
        </xdr:cNvPr>
        <xdr:cNvSpPr txBox="1"/>
      </xdr:nvSpPr>
      <xdr:spPr>
        <a:xfrm>
          <a:off x="20142200" y="8445500"/>
          <a:ext cx="1397000" cy="228600"/>
        </a:xfrm>
        <a:prstGeom prst="rect">
          <a:avLst/>
        </a:prstGeom>
        <a:noFill/>
        <a:ln>
          <a:solidFill>
            <a:prstClr val="black"/>
          </a:solidFill>
        </a:ln>
      </xdr:spPr>
      <xdr:txBody>
        <a:bodyPr vertOverflow="overflow" vert="horz" wrap="square" rtlCol="0" anchor="t">
          <a:spAutoFit/>
        </a:bodyPr>
        <a:lstStyle/>
        <a:p>
          <a:pPr algn="ctr"/>
          <a:r>
            <a:rPr kumimoji="0" lang="en-US" sz="900" b="1" i="0" u="none" strike="noStrike" kern="0" cap="none" spc="0" normalizeH="0" baseline="0" noProof="0">
              <a:ln>
                <a:noFill/>
              </a:ln>
              <a:solidFill>
                <a:srgbClr val="C62828"/>
              </a:solidFill>
              <a:effectLst/>
              <a:uLnTx/>
              <a:uFillTx/>
              <a:latin typeface="Calibri"/>
            </a:rPr>
            <a:t>Demo M2 (21 Jun)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23</xdr:row>
      <xdr:rowOff>0</xdr:rowOff>
    </xdr:from>
    <xdr:to>
      <xdr:col>6</xdr:col>
      <xdr:colOff>0</xdr:colOff>
      <xdr:row>45</xdr:row>
      <xdr:rowOff>0</xdr:rowOff>
    </xdr:to>
    <xdr:graphicFrame macro="">
      <xdr:nvGraphicFramePr>
        <xdr:cNvPr id="2" name="DependenciesByWeek">
          <a:extLst>
            <a:ext uri="{FF2B5EF4-FFF2-40B4-BE49-F238E27FC236}">
              <a16:creationId xmlns:a16="http://schemas.microsoft.com/office/drawing/2014/main" id="{E37823FB-3A6D-5FA0-DC7A-22A927E6A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42</xdr:row>
      <xdr:rowOff>0</xdr:rowOff>
    </xdr:from>
    <xdr:to>
      <xdr:col>11</xdr:col>
      <xdr:colOff>0</xdr:colOff>
      <xdr:row>59</xdr:row>
      <xdr:rowOff>0</xdr:rowOff>
    </xdr:to>
    <xdr:graphicFrame macro="">
      <xdr:nvGraphicFramePr>
        <xdr:cNvPr id="2" name="RoleAllocation">
          <a:extLst>
            <a:ext uri="{FF2B5EF4-FFF2-40B4-BE49-F238E27FC236}">
              <a16:creationId xmlns:a16="http://schemas.microsoft.com/office/drawing/2014/main" id="{ECF57562-49A2-49CA-889C-A86DE87EE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61</xdr:row>
      <xdr:rowOff>0</xdr:rowOff>
    </xdr:from>
    <xdr:to>
      <xdr:col>6</xdr:col>
      <xdr:colOff>38100</xdr:colOff>
      <xdr:row>82</xdr:row>
      <xdr:rowOff>101600</xdr:rowOff>
    </xdr:to>
    <xdr:graphicFrame macro="">
      <xdr:nvGraphicFramePr>
        <xdr:cNvPr id="2" name="RiskByScore">
          <a:extLst>
            <a:ext uri="{FF2B5EF4-FFF2-40B4-BE49-F238E27FC236}">
              <a16:creationId xmlns:a16="http://schemas.microsoft.com/office/drawing/2014/main" id="{1E5BAE41-8B3A-2D33-9637-9B45439D7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F3D11E-EA20-FC47-8DE1-C89FDB7B464B}">
  <we:reference id="wa200009404" version="1.0.0.8" store="en-US" storeType="OMEX"/>
  <we:alternateReferences>
    <we:reference id="wa200009404" version="1.0.0.8" store="en-US" storeType="OMEX"/>
  </we:alternateReferences>
  <we:properties>
    <we:property name="claude.fileId" value="&quot;da47a0b2-11ed-4c7f-b681-25a875c91689&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workbookViewId="0">
      <selection activeCell="A19" sqref="A19:J19"/>
    </sheetView>
  </sheetViews>
  <sheetFormatPr baseColWidth="10" defaultColWidth="8.83203125" defaultRowHeight="15" x14ac:dyDescent="0.2"/>
  <cols>
    <col min="1" max="1" width="18" customWidth="1"/>
    <col min="2" max="2" width="40" customWidth="1"/>
    <col min="3" max="3" width="20" customWidth="1"/>
    <col min="4" max="4" width="50" customWidth="1"/>
    <col min="5" max="11" width="18" customWidth="1"/>
  </cols>
  <sheetData>
    <row r="1" spans="1:10" ht="28" customHeight="1" x14ac:dyDescent="0.2">
      <c r="A1" s="59" t="s">
        <v>1523</v>
      </c>
    </row>
    <row r="2" spans="1:10" x14ac:dyDescent="0.2">
      <c r="A2" t="s">
        <v>1524</v>
      </c>
    </row>
    <row r="3" spans="1:10" ht="22" customHeight="1" x14ac:dyDescent="0.2">
      <c r="A3" s="104"/>
      <c r="B3" s="103"/>
      <c r="C3" s="103"/>
      <c r="D3" s="103"/>
      <c r="E3" s="103"/>
      <c r="F3" s="103"/>
      <c r="G3" s="103"/>
      <c r="H3" s="103"/>
      <c r="I3" s="103"/>
      <c r="J3" s="103"/>
    </row>
    <row r="5" spans="1:10" ht="22" customHeight="1" x14ac:dyDescent="0.2">
      <c r="A5" s="60" t="s">
        <v>6</v>
      </c>
    </row>
    <row r="6" spans="1:10" ht="28" customHeight="1" x14ac:dyDescent="0.2">
      <c r="A6" s="3" t="s">
        <v>7</v>
      </c>
      <c r="B6" s="3" t="s">
        <v>8</v>
      </c>
      <c r="C6" s="3" t="s">
        <v>1525</v>
      </c>
      <c r="D6" s="3" t="s">
        <v>1526</v>
      </c>
    </row>
    <row r="7" spans="1:10" ht="18" customHeight="1" x14ac:dyDescent="0.2">
      <c r="A7" s="4">
        <v>1</v>
      </c>
      <c r="B7" s="4" t="s">
        <v>1527</v>
      </c>
      <c r="C7" s="24" t="s">
        <v>1528</v>
      </c>
      <c r="D7" s="4" t="s">
        <v>1529</v>
      </c>
    </row>
    <row r="8" spans="1:10" ht="18" customHeight="1" x14ac:dyDescent="0.2">
      <c r="A8" s="5">
        <v>2</v>
      </c>
      <c r="B8" s="5" t="s">
        <v>847</v>
      </c>
      <c r="C8" s="25" t="s">
        <v>1530</v>
      </c>
      <c r="D8" s="5" t="s">
        <v>1531</v>
      </c>
    </row>
    <row r="9" spans="1:10" ht="18" customHeight="1" x14ac:dyDescent="0.2">
      <c r="A9" s="4">
        <v>3</v>
      </c>
      <c r="B9" s="4" t="s">
        <v>1532</v>
      </c>
      <c r="C9" s="24" t="s">
        <v>1533</v>
      </c>
      <c r="D9" s="4" t="s">
        <v>1550</v>
      </c>
    </row>
    <row r="10" spans="1:10" ht="32" customHeight="1" x14ac:dyDescent="0.2">
      <c r="A10" s="5">
        <v>4</v>
      </c>
      <c r="B10" s="5" t="s">
        <v>32</v>
      </c>
      <c r="C10" s="25" t="s">
        <v>1534</v>
      </c>
      <c r="D10" s="5" t="s">
        <v>1535</v>
      </c>
    </row>
    <row r="11" spans="1:10" ht="32" customHeight="1" x14ac:dyDescent="0.2">
      <c r="A11" s="4">
        <v>5</v>
      </c>
      <c r="B11" s="4" t="s">
        <v>9</v>
      </c>
      <c r="C11" s="24" t="s">
        <v>1536</v>
      </c>
      <c r="D11" s="4" t="s">
        <v>1537</v>
      </c>
    </row>
    <row r="12" spans="1:10" ht="18" customHeight="1" x14ac:dyDescent="0.2">
      <c r="A12" s="5">
        <v>6</v>
      </c>
      <c r="B12" s="5" t="s">
        <v>1538</v>
      </c>
      <c r="C12" s="25" t="s">
        <v>1539</v>
      </c>
      <c r="D12" s="5" t="s">
        <v>1540</v>
      </c>
    </row>
    <row r="13" spans="1:10" ht="18" customHeight="1" x14ac:dyDescent="0.2">
      <c r="A13" s="4">
        <v>7</v>
      </c>
      <c r="B13" s="4" t="s">
        <v>1541</v>
      </c>
      <c r="C13" s="24" t="s">
        <v>1542</v>
      </c>
      <c r="D13" s="4" t="s">
        <v>1551</v>
      </c>
    </row>
    <row r="14" spans="1:10" ht="18" customHeight="1" x14ac:dyDescent="0.2">
      <c r="A14" s="5" t="s">
        <v>10</v>
      </c>
      <c r="B14" s="5" t="s">
        <v>11</v>
      </c>
      <c r="C14" s="25" t="s">
        <v>1543</v>
      </c>
      <c r="D14" s="5" t="s">
        <v>1552</v>
      </c>
    </row>
    <row r="15" spans="1:10" ht="32" x14ac:dyDescent="0.2">
      <c r="A15" s="61" t="s">
        <v>12</v>
      </c>
    </row>
    <row r="16" spans="1:10" ht="22" customHeight="1" x14ac:dyDescent="0.2">
      <c r="A16" s="2" t="s">
        <v>1544</v>
      </c>
    </row>
    <row r="17" spans="1:10" ht="32" customHeight="1" x14ac:dyDescent="0.2">
      <c r="A17" s="102" t="s">
        <v>1553</v>
      </c>
      <c r="B17" s="103"/>
      <c r="C17" s="103"/>
      <c r="D17" s="103"/>
      <c r="E17" s="103"/>
      <c r="F17" s="103"/>
      <c r="G17" s="103"/>
      <c r="H17" s="103"/>
      <c r="I17" s="103"/>
      <c r="J17" s="103"/>
    </row>
    <row r="18" spans="1:10" ht="18" customHeight="1" x14ac:dyDescent="0.2">
      <c r="A18" s="102" t="s">
        <v>1554</v>
      </c>
      <c r="B18" s="103"/>
      <c r="C18" s="103"/>
      <c r="D18" s="103"/>
      <c r="E18" s="103"/>
      <c r="F18" s="103"/>
      <c r="G18" s="103"/>
      <c r="H18" s="103"/>
      <c r="I18" s="103"/>
      <c r="J18" s="103"/>
    </row>
    <row r="19" spans="1:10" ht="18" customHeight="1" x14ac:dyDescent="0.2">
      <c r="A19" s="102" t="s">
        <v>1545</v>
      </c>
      <c r="B19" s="103"/>
      <c r="C19" s="103"/>
      <c r="D19" s="103"/>
      <c r="E19" s="103"/>
      <c r="F19" s="103"/>
      <c r="G19" s="103"/>
      <c r="H19" s="103"/>
      <c r="I19" s="103"/>
      <c r="J19" s="103"/>
    </row>
    <row r="20" spans="1:10" x14ac:dyDescent="0.2">
      <c r="A20" t="s">
        <v>1555</v>
      </c>
    </row>
    <row r="21" spans="1:10" x14ac:dyDescent="0.2">
      <c r="A21" t="s">
        <v>1556</v>
      </c>
    </row>
  </sheetData>
  <mergeCells count="4">
    <mergeCell ref="A17:J17"/>
    <mergeCell ref="A18:J18"/>
    <mergeCell ref="A19:J19"/>
    <mergeCell ref="A3:J3"/>
  </mergeCells>
  <hyperlinks>
    <hyperlink ref="C7" location="'01-Overview'!A1" display="01-Overview" xr:uid="{00000000-0004-0000-0100-000000000000}"/>
    <hyperlink ref="C8" location="'02-Contract'!A1" display="02-Contract" xr:uid="{00000000-0004-0000-0100-000001000000}"/>
    <hyperlink ref="C9" location="'03-Scope'!A1" display="03-Scope" xr:uid="{00000000-0004-0000-0100-000002000000}"/>
    <hyperlink ref="C10" location="'04-Timeline'!A1" display="04-Timeline" xr:uid="{00000000-0004-0000-0100-000003000000}"/>
    <hyperlink ref="C11" location="'05-Approach'!A1" display="05-Approach" xr:uid="{00000000-0004-0000-0100-000004000000}"/>
    <hyperlink ref="C12" location="'06-Resources'!A1" display="06-Resources" xr:uid="{00000000-0004-0000-0100-000005000000}"/>
    <hyperlink ref="C13" location="'07-DCA'!A1" display="07-DCA" xr:uid="{00000000-0004-0000-0100-000006000000}"/>
    <hyperlink ref="C14" location="'Track-CoreFrontend'!A1" display="Track-CoreFrontend" xr:uid="{00000000-0004-0000-01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1884-DC1B-F64F-BFB4-8C61AE6F236A}">
  <dimension ref="A1:H110"/>
  <sheetViews>
    <sheetView topLeftCell="A7" workbookViewId="0">
      <selection activeCell="D32" sqref="D32"/>
    </sheetView>
  </sheetViews>
  <sheetFormatPr baseColWidth="10" defaultRowHeight="15" x14ac:dyDescent="0.2"/>
  <cols>
    <col min="1" max="1" width="36.83203125" customWidth="1"/>
  </cols>
  <sheetData>
    <row r="1" spans="1:3" ht="21" x14ac:dyDescent="0.25">
      <c r="A1" s="55" t="s">
        <v>1397</v>
      </c>
    </row>
    <row r="2" spans="1:3" x14ac:dyDescent="0.2">
      <c r="A2" t="s">
        <v>1398</v>
      </c>
    </row>
    <row r="4" spans="1:3" x14ac:dyDescent="0.2">
      <c r="A4" s="56" t="s">
        <v>1399</v>
      </c>
    </row>
    <row r="5" spans="1:3" x14ac:dyDescent="0.2">
      <c r="A5" s="13" t="s">
        <v>0</v>
      </c>
      <c r="B5" s="13" t="s">
        <v>54</v>
      </c>
    </row>
    <row r="6" spans="1:3" x14ac:dyDescent="0.2">
      <c r="A6" t="s">
        <v>13</v>
      </c>
      <c r="B6" t="s">
        <v>14</v>
      </c>
    </row>
    <row r="7" spans="1:3" x14ac:dyDescent="0.2">
      <c r="A7" t="s">
        <v>55</v>
      </c>
      <c r="B7" t="s">
        <v>56</v>
      </c>
    </row>
    <row r="8" spans="1:3" x14ac:dyDescent="0.2">
      <c r="A8" t="s">
        <v>57</v>
      </c>
      <c r="B8" s="57">
        <v>46134</v>
      </c>
    </row>
    <row r="9" spans="1:3" x14ac:dyDescent="0.2">
      <c r="A9" t="s">
        <v>15</v>
      </c>
      <c r="B9" t="s">
        <v>1400</v>
      </c>
    </row>
    <row r="10" spans="1:3" x14ac:dyDescent="0.2">
      <c r="A10" t="s">
        <v>16</v>
      </c>
      <c r="B10" t="s">
        <v>17</v>
      </c>
    </row>
    <row r="11" spans="1:3" x14ac:dyDescent="0.2">
      <c r="A11" t="s">
        <v>1401</v>
      </c>
      <c r="B11" t="s">
        <v>1402</v>
      </c>
    </row>
    <row r="12" spans="1:3" x14ac:dyDescent="0.2">
      <c r="A12" t="s">
        <v>1403</v>
      </c>
      <c r="B12" t="s">
        <v>1404</v>
      </c>
    </row>
    <row r="13" spans="1:3" x14ac:dyDescent="0.2">
      <c r="A13" t="s">
        <v>1307</v>
      </c>
      <c r="B13" t="s">
        <v>1405</v>
      </c>
    </row>
    <row r="15" spans="1:3" x14ac:dyDescent="0.2">
      <c r="A15" s="56" t="s">
        <v>1406</v>
      </c>
    </row>
    <row r="16" spans="1:3" x14ac:dyDescent="0.2">
      <c r="A16" s="13" t="s">
        <v>3</v>
      </c>
      <c r="B16" s="13" t="s">
        <v>937</v>
      </c>
      <c r="C16" s="13" t="s">
        <v>1370</v>
      </c>
    </row>
    <row r="17" spans="1:3" x14ac:dyDescent="0.2">
      <c r="A17" t="s">
        <v>1407</v>
      </c>
      <c r="B17" t="s">
        <v>1408</v>
      </c>
      <c r="C17" t="s">
        <v>1409</v>
      </c>
    </row>
    <row r="18" spans="1:3" x14ac:dyDescent="0.2">
      <c r="A18" t="s">
        <v>59</v>
      </c>
      <c r="B18" t="s">
        <v>1410</v>
      </c>
      <c r="C18" t="s">
        <v>1411</v>
      </c>
    </row>
    <row r="19" spans="1:3" x14ac:dyDescent="0.2">
      <c r="A19" t="s">
        <v>5</v>
      </c>
      <c r="B19" t="s">
        <v>4</v>
      </c>
      <c r="C19" t="s">
        <v>1412</v>
      </c>
    </row>
    <row r="20" spans="1:3" x14ac:dyDescent="0.2">
      <c r="A20" t="s">
        <v>1413</v>
      </c>
      <c r="B20" t="s">
        <v>940</v>
      </c>
      <c r="C20" t="s">
        <v>1414</v>
      </c>
    </row>
    <row r="21" spans="1:3" x14ac:dyDescent="0.2">
      <c r="A21" t="s">
        <v>1415</v>
      </c>
      <c r="B21" t="s">
        <v>943</v>
      </c>
      <c r="C21" t="s">
        <v>1416</v>
      </c>
    </row>
    <row r="22" spans="1:3" x14ac:dyDescent="0.2">
      <c r="A22" t="s">
        <v>1417</v>
      </c>
      <c r="B22" t="s">
        <v>1418</v>
      </c>
    </row>
    <row r="24" spans="1:3" x14ac:dyDescent="0.2">
      <c r="A24" s="56" t="s">
        <v>1419</v>
      </c>
    </row>
    <row r="25" spans="1:3" x14ac:dyDescent="0.2">
      <c r="A25" t="s">
        <v>1420</v>
      </c>
      <c r="B25" t="s">
        <v>1421</v>
      </c>
    </row>
    <row r="26" spans="1:3" x14ac:dyDescent="0.2">
      <c r="A26" t="s">
        <v>1422</v>
      </c>
      <c r="B26" t="s">
        <v>1423</v>
      </c>
    </row>
    <row r="27" spans="1:3" x14ac:dyDescent="0.2">
      <c r="B27" t="s">
        <v>1424</v>
      </c>
    </row>
    <row r="28" spans="1:3" x14ac:dyDescent="0.2">
      <c r="B28" t="s">
        <v>1425</v>
      </c>
    </row>
    <row r="29" spans="1:3" x14ac:dyDescent="0.2">
      <c r="B29" t="s">
        <v>1426</v>
      </c>
    </row>
    <row r="30" spans="1:3" x14ac:dyDescent="0.2">
      <c r="B30" t="s">
        <v>1427</v>
      </c>
    </row>
    <row r="32" spans="1:3" x14ac:dyDescent="0.2">
      <c r="A32" t="s">
        <v>19</v>
      </c>
      <c r="B32" t="s">
        <v>1428</v>
      </c>
    </row>
    <row r="33" spans="1:8" x14ac:dyDescent="0.2">
      <c r="B33" t="s">
        <v>20</v>
      </c>
    </row>
    <row r="35" spans="1:8" x14ac:dyDescent="0.2">
      <c r="A35" s="56" t="s">
        <v>28</v>
      </c>
    </row>
    <row r="36" spans="1:8" x14ac:dyDescent="0.2">
      <c r="A36" s="13" t="s">
        <v>7</v>
      </c>
      <c r="B36" s="13" t="s">
        <v>29</v>
      </c>
      <c r="C36" s="13" t="s">
        <v>1429</v>
      </c>
      <c r="D36" s="13" t="s">
        <v>32</v>
      </c>
      <c r="E36" s="13" t="s">
        <v>2</v>
      </c>
    </row>
    <row r="37" spans="1:8" x14ac:dyDescent="0.2">
      <c r="A37" t="s">
        <v>33</v>
      </c>
      <c r="B37" t="s">
        <v>34</v>
      </c>
      <c r="C37" t="s">
        <v>1430</v>
      </c>
      <c r="D37" t="s">
        <v>35</v>
      </c>
      <c r="E37" t="s">
        <v>36</v>
      </c>
    </row>
    <row r="38" spans="1:8" x14ac:dyDescent="0.2">
      <c r="A38" t="s">
        <v>37</v>
      </c>
      <c r="B38" t="s">
        <v>38</v>
      </c>
      <c r="C38" t="s">
        <v>1431</v>
      </c>
      <c r="D38" t="s">
        <v>35</v>
      </c>
      <c r="E38" t="s">
        <v>39</v>
      </c>
    </row>
    <row r="39" spans="1:8" x14ac:dyDescent="0.2">
      <c r="A39" t="s">
        <v>40</v>
      </c>
      <c r="B39" t="s">
        <v>41</v>
      </c>
      <c r="C39" t="s">
        <v>1432</v>
      </c>
      <c r="D39" t="s">
        <v>35</v>
      </c>
      <c r="E39" t="s">
        <v>36</v>
      </c>
    </row>
    <row r="40" spans="1:8" x14ac:dyDescent="0.2">
      <c r="A40" t="s">
        <v>42</v>
      </c>
      <c r="B40" t="s">
        <v>43</v>
      </c>
      <c r="C40" t="s">
        <v>1433</v>
      </c>
      <c r="D40" t="s">
        <v>35</v>
      </c>
      <c r="E40" t="s">
        <v>44</v>
      </c>
    </row>
    <row r="41" spans="1:8" x14ac:dyDescent="0.2">
      <c r="A41" t="s">
        <v>45</v>
      </c>
      <c r="B41" t="s">
        <v>46</v>
      </c>
      <c r="C41" t="s">
        <v>1434</v>
      </c>
      <c r="D41" t="s">
        <v>47</v>
      </c>
      <c r="E41" t="s">
        <v>48</v>
      </c>
    </row>
    <row r="42" spans="1:8" x14ac:dyDescent="0.2">
      <c r="A42" t="s">
        <v>49</v>
      </c>
      <c r="B42" t="s">
        <v>50</v>
      </c>
      <c r="C42" t="s">
        <v>1435</v>
      </c>
      <c r="D42" t="s">
        <v>35</v>
      </c>
      <c r="E42" t="s">
        <v>51</v>
      </c>
    </row>
    <row r="43" spans="1:8" x14ac:dyDescent="0.2">
      <c r="A43" t="s">
        <v>52</v>
      </c>
      <c r="B43" t="s">
        <v>53</v>
      </c>
      <c r="C43" t="s">
        <v>1436</v>
      </c>
      <c r="D43" t="s">
        <v>35</v>
      </c>
      <c r="E43" t="s">
        <v>51</v>
      </c>
    </row>
    <row r="45" spans="1:8" x14ac:dyDescent="0.2">
      <c r="A45" s="56" t="s">
        <v>1437</v>
      </c>
    </row>
    <row r="46" spans="1:8" x14ac:dyDescent="0.2">
      <c r="A46" t="s">
        <v>1438</v>
      </c>
    </row>
    <row r="48" spans="1:8" x14ac:dyDescent="0.2">
      <c r="A48" s="13" t="s">
        <v>61</v>
      </c>
      <c r="B48" s="13" t="s">
        <v>62</v>
      </c>
      <c r="C48" s="13" t="s">
        <v>1367</v>
      </c>
      <c r="D48" s="13" t="s">
        <v>1439</v>
      </c>
      <c r="E48" s="13" t="s">
        <v>2</v>
      </c>
      <c r="F48" s="13" t="s">
        <v>64</v>
      </c>
      <c r="G48" s="13" t="s">
        <v>1440</v>
      </c>
      <c r="H48" s="13" t="s">
        <v>65</v>
      </c>
    </row>
    <row r="49" spans="1:8" x14ac:dyDescent="0.2">
      <c r="A49" t="s">
        <v>66</v>
      </c>
      <c r="B49" t="s">
        <v>67</v>
      </c>
      <c r="C49" t="s">
        <v>1368</v>
      </c>
      <c r="E49" t="s">
        <v>36</v>
      </c>
      <c r="F49" t="s">
        <v>1441</v>
      </c>
      <c r="G49" s="54">
        <v>0.05</v>
      </c>
      <c r="H49" t="s">
        <v>63</v>
      </c>
    </row>
    <row r="50" spans="1:8" x14ac:dyDescent="0.2">
      <c r="A50" t="s">
        <v>69</v>
      </c>
      <c r="B50" t="s">
        <v>1442</v>
      </c>
      <c r="C50" t="s">
        <v>740</v>
      </c>
      <c r="E50" t="s">
        <v>36</v>
      </c>
      <c r="F50" t="s">
        <v>1443</v>
      </c>
      <c r="G50" s="54">
        <v>0.1</v>
      </c>
      <c r="H50" t="s">
        <v>63</v>
      </c>
    </row>
    <row r="51" spans="1:8" x14ac:dyDescent="0.2">
      <c r="A51" t="s">
        <v>71</v>
      </c>
      <c r="B51" t="s">
        <v>1444</v>
      </c>
      <c r="C51" t="s">
        <v>1346</v>
      </c>
      <c r="E51" t="s">
        <v>51</v>
      </c>
      <c r="F51" t="s">
        <v>1445</v>
      </c>
      <c r="G51" s="54">
        <v>0.15</v>
      </c>
      <c r="H51" t="s">
        <v>63</v>
      </c>
    </row>
    <row r="52" spans="1:8" x14ac:dyDescent="0.2">
      <c r="A52" t="s">
        <v>74</v>
      </c>
      <c r="B52" t="s">
        <v>1446</v>
      </c>
      <c r="C52" t="s">
        <v>741</v>
      </c>
      <c r="E52" t="s">
        <v>36</v>
      </c>
      <c r="F52" t="s">
        <v>1447</v>
      </c>
      <c r="G52" s="54">
        <v>0.15</v>
      </c>
      <c r="H52" t="s">
        <v>63</v>
      </c>
    </row>
    <row r="53" spans="1:8" x14ac:dyDescent="0.2">
      <c r="A53" t="s">
        <v>77</v>
      </c>
      <c r="B53" t="s">
        <v>1448</v>
      </c>
      <c r="C53" t="s">
        <v>1347</v>
      </c>
      <c r="E53" t="s">
        <v>51</v>
      </c>
      <c r="F53" t="s">
        <v>1449</v>
      </c>
      <c r="G53" s="54">
        <v>0.1</v>
      </c>
      <c r="H53" t="s">
        <v>63</v>
      </c>
    </row>
    <row r="54" spans="1:8" x14ac:dyDescent="0.2">
      <c r="A54" t="s">
        <v>75</v>
      </c>
      <c r="B54" t="s">
        <v>1450</v>
      </c>
      <c r="C54" t="s">
        <v>743</v>
      </c>
      <c r="E54" t="s">
        <v>36</v>
      </c>
      <c r="F54" t="s">
        <v>1451</v>
      </c>
      <c r="G54" s="54">
        <v>0.25</v>
      </c>
      <c r="H54" t="s">
        <v>63</v>
      </c>
    </row>
    <row r="55" spans="1:8" x14ac:dyDescent="0.2">
      <c r="A55" t="s">
        <v>78</v>
      </c>
      <c r="B55" t="s">
        <v>79</v>
      </c>
      <c r="C55" t="s">
        <v>744</v>
      </c>
      <c r="E55" t="s">
        <v>80</v>
      </c>
      <c r="F55" t="s">
        <v>1452</v>
      </c>
      <c r="G55" s="54">
        <v>0.1</v>
      </c>
      <c r="H55" t="s">
        <v>63</v>
      </c>
    </row>
    <row r="56" spans="1:8" x14ac:dyDescent="0.2">
      <c r="A56" t="s">
        <v>81</v>
      </c>
      <c r="B56" t="s">
        <v>82</v>
      </c>
      <c r="C56" t="s">
        <v>83</v>
      </c>
      <c r="E56" t="s">
        <v>84</v>
      </c>
      <c r="F56" t="s">
        <v>85</v>
      </c>
      <c r="G56" s="54">
        <v>0.05</v>
      </c>
      <c r="H56" t="s">
        <v>63</v>
      </c>
    </row>
    <row r="57" spans="1:8" x14ac:dyDescent="0.2">
      <c r="A57" t="s">
        <v>86</v>
      </c>
      <c r="B57" t="s">
        <v>745</v>
      </c>
      <c r="C57" t="s">
        <v>87</v>
      </c>
      <c r="E57" t="s">
        <v>84</v>
      </c>
      <c r="F57" t="s">
        <v>88</v>
      </c>
      <c r="G57" s="54">
        <v>0.03</v>
      </c>
      <c r="H57" t="s">
        <v>63</v>
      </c>
    </row>
    <row r="58" spans="1:8" x14ac:dyDescent="0.2">
      <c r="A58" t="s">
        <v>89</v>
      </c>
      <c r="B58" t="s">
        <v>90</v>
      </c>
      <c r="C58" t="s">
        <v>87</v>
      </c>
      <c r="E58" t="s">
        <v>91</v>
      </c>
      <c r="F58" t="s">
        <v>1453</v>
      </c>
      <c r="G58" s="54">
        <v>0.02</v>
      </c>
      <c r="H58" t="s">
        <v>63</v>
      </c>
    </row>
    <row r="59" spans="1:8" x14ac:dyDescent="0.2">
      <c r="A59" s="13" t="s">
        <v>1454</v>
      </c>
      <c r="G59" s="58">
        <v>1</v>
      </c>
    </row>
    <row r="61" spans="1:8" x14ac:dyDescent="0.2">
      <c r="A61" s="56" t="s">
        <v>1455</v>
      </c>
    </row>
    <row r="62" spans="1:8" x14ac:dyDescent="0.2">
      <c r="A62" t="s">
        <v>1456</v>
      </c>
    </row>
    <row r="64" spans="1:8" x14ac:dyDescent="0.2">
      <c r="A64" s="13" t="s">
        <v>1219</v>
      </c>
      <c r="B64" s="13" t="s">
        <v>847</v>
      </c>
      <c r="C64" s="13" t="s">
        <v>93</v>
      </c>
    </row>
    <row r="65" spans="1:3" x14ac:dyDescent="0.2">
      <c r="A65" t="s">
        <v>1220</v>
      </c>
      <c r="B65" t="s">
        <v>1457</v>
      </c>
      <c r="C65" t="s">
        <v>1458</v>
      </c>
    </row>
    <row r="66" spans="1:3" x14ac:dyDescent="0.2">
      <c r="A66" t="s">
        <v>1221</v>
      </c>
      <c r="B66" t="s">
        <v>1459</v>
      </c>
      <c r="C66" t="s">
        <v>1460</v>
      </c>
    </row>
    <row r="67" spans="1:3" x14ac:dyDescent="0.2">
      <c r="A67" t="s">
        <v>1222</v>
      </c>
      <c r="B67" t="s">
        <v>1223</v>
      </c>
      <c r="C67" t="s">
        <v>1461</v>
      </c>
    </row>
    <row r="68" spans="1:3" x14ac:dyDescent="0.2">
      <c r="A68" t="s">
        <v>831</v>
      </c>
      <c r="B68" t="s">
        <v>1462</v>
      </c>
      <c r="C68" t="s">
        <v>1463</v>
      </c>
    </row>
    <row r="69" spans="1:3" x14ac:dyDescent="0.2">
      <c r="A69" t="s">
        <v>1464</v>
      </c>
      <c r="B69" t="s">
        <v>1224</v>
      </c>
      <c r="C69" t="s">
        <v>1225</v>
      </c>
    </row>
    <row r="70" spans="1:3" x14ac:dyDescent="0.2">
      <c r="A70" t="s">
        <v>201</v>
      </c>
      <c r="B70" t="s">
        <v>1226</v>
      </c>
      <c r="C70" t="s">
        <v>1227</v>
      </c>
    </row>
    <row r="71" spans="1:3" x14ac:dyDescent="0.2">
      <c r="A71" t="s">
        <v>1228</v>
      </c>
      <c r="B71" t="s">
        <v>1465</v>
      </c>
      <c r="C71" t="s">
        <v>1466</v>
      </c>
    </row>
    <row r="73" spans="1:3" x14ac:dyDescent="0.2">
      <c r="A73" t="s">
        <v>1467</v>
      </c>
      <c r="B73" t="s">
        <v>1468</v>
      </c>
    </row>
    <row r="74" spans="1:3" x14ac:dyDescent="0.2">
      <c r="A74" t="s">
        <v>1469</v>
      </c>
      <c r="B74" t="s">
        <v>1470</v>
      </c>
    </row>
    <row r="76" spans="1:3" x14ac:dyDescent="0.2">
      <c r="A76" s="56" t="s">
        <v>1471</v>
      </c>
    </row>
    <row r="77" spans="1:3" x14ac:dyDescent="0.2">
      <c r="A77" s="13" t="s">
        <v>1229</v>
      </c>
      <c r="B77" s="13" t="s">
        <v>1230</v>
      </c>
      <c r="C77" s="13" t="s">
        <v>761</v>
      </c>
    </row>
    <row r="78" spans="1:3" x14ac:dyDescent="0.2">
      <c r="A78" t="s">
        <v>1231</v>
      </c>
      <c r="B78" t="s">
        <v>36</v>
      </c>
      <c r="C78" t="s">
        <v>1232</v>
      </c>
    </row>
    <row r="79" spans="1:3" x14ac:dyDescent="0.2">
      <c r="A79" t="s">
        <v>995</v>
      </c>
      <c r="B79" t="s">
        <v>573</v>
      </c>
      <c r="C79" t="s">
        <v>1472</v>
      </c>
    </row>
    <row r="80" spans="1:3" x14ac:dyDescent="0.2">
      <c r="A80" t="s">
        <v>1233</v>
      </c>
      <c r="B80" t="s">
        <v>1473</v>
      </c>
      <c r="C80" t="s">
        <v>1232</v>
      </c>
    </row>
    <row r="81" spans="1:3" x14ac:dyDescent="0.2">
      <c r="A81" t="s">
        <v>1474</v>
      </c>
      <c r="B81" t="s">
        <v>36</v>
      </c>
      <c r="C81" t="s">
        <v>1235</v>
      </c>
    </row>
    <row r="82" spans="1:3" x14ac:dyDescent="0.2">
      <c r="A82" t="s">
        <v>1475</v>
      </c>
      <c r="B82" t="s">
        <v>1476</v>
      </c>
      <c r="C82" t="s">
        <v>1477</v>
      </c>
    </row>
    <row r="83" spans="1:3" x14ac:dyDescent="0.2">
      <c r="A83" t="s">
        <v>1234</v>
      </c>
      <c r="B83" t="s">
        <v>58</v>
      </c>
      <c r="C83" t="s">
        <v>1235</v>
      </c>
    </row>
    <row r="84" spans="1:3" x14ac:dyDescent="0.2">
      <c r="A84" t="s">
        <v>1478</v>
      </c>
      <c r="B84" t="s">
        <v>80</v>
      </c>
      <c r="C84" t="s">
        <v>1236</v>
      </c>
    </row>
    <row r="85" spans="1:3" x14ac:dyDescent="0.2">
      <c r="A85" t="s">
        <v>1479</v>
      </c>
      <c r="B85" t="s">
        <v>1480</v>
      </c>
      <c r="C85" t="s">
        <v>1232</v>
      </c>
    </row>
    <row r="86" spans="1:3" x14ac:dyDescent="0.2">
      <c r="A86" t="s">
        <v>1481</v>
      </c>
      <c r="B86" t="s">
        <v>1482</v>
      </c>
      <c r="C86" t="s">
        <v>1483</v>
      </c>
    </row>
    <row r="87" spans="1:3" x14ac:dyDescent="0.2">
      <c r="A87" t="s">
        <v>1484</v>
      </c>
      <c r="B87" t="s">
        <v>80</v>
      </c>
      <c r="C87" t="s">
        <v>1485</v>
      </c>
    </row>
    <row r="89" spans="1:3" x14ac:dyDescent="0.2">
      <c r="A89" s="56" t="s">
        <v>1486</v>
      </c>
    </row>
    <row r="90" spans="1:3" x14ac:dyDescent="0.2">
      <c r="A90" t="s">
        <v>1487</v>
      </c>
    </row>
    <row r="92" spans="1:3" x14ac:dyDescent="0.2">
      <c r="A92" s="13" t="s">
        <v>1237</v>
      </c>
      <c r="B92" s="13" t="s">
        <v>1488</v>
      </c>
      <c r="C92" s="13" t="s">
        <v>1489</v>
      </c>
    </row>
    <row r="93" spans="1:3" x14ac:dyDescent="0.2">
      <c r="A93" t="s">
        <v>1238</v>
      </c>
      <c r="B93" t="s">
        <v>1490</v>
      </c>
      <c r="C93" t="s">
        <v>1491</v>
      </c>
    </row>
    <row r="94" spans="1:3" x14ac:dyDescent="0.2">
      <c r="A94" t="s">
        <v>1239</v>
      </c>
      <c r="B94" t="s">
        <v>1492</v>
      </c>
      <c r="C94" t="s">
        <v>1493</v>
      </c>
    </row>
    <row r="95" spans="1:3" x14ac:dyDescent="0.2">
      <c r="A95" t="s">
        <v>1240</v>
      </c>
      <c r="B95" t="s">
        <v>1494</v>
      </c>
      <c r="C95" t="s">
        <v>1241</v>
      </c>
    </row>
    <row r="96" spans="1:3" x14ac:dyDescent="0.2">
      <c r="A96" t="s">
        <v>1242</v>
      </c>
      <c r="B96" t="s">
        <v>1495</v>
      </c>
      <c r="C96" t="s">
        <v>1349</v>
      </c>
    </row>
    <row r="97" spans="1:5" x14ac:dyDescent="0.2">
      <c r="A97" t="s">
        <v>1243</v>
      </c>
      <c r="B97" t="s">
        <v>1496</v>
      </c>
      <c r="C97" t="s">
        <v>1497</v>
      </c>
    </row>
    <row r="98" spans="1:5" x14ac:dyDescent="0.2">
      <c r="A98" t="s">
        <v>1244</v>
      </c>
      <c r="B98" t="s">
        <v>1498</v>
      </c>
      <c r="C98" t="s">
        <v>1499</v>
      </c>
    </row>
    <row r="99" spans="1:5" x14ac:dyDescent="0.2">
      <c r="A99" t="s">
        <v>1500</v>
      </c>
      <c r="B99" t="s">
        <v>1245</v>
      </c>
      <c r="C99" t="s">
        <v>1246</v>
      </c>
    </row>
    <row r="100" spans="1:5" x14ac:dyDescent="0.2">
      <c r="A100" t="s">
        <v>1501</v>
      </c>
      <c r="B100" t="s">
        <v>1502</v>
      </c>
      <c r="C100" t="s">
        <v>1503</v>
      </c>
    </row>
    <row r="102" spans="1:5" x14ac:dyDescent="0.2">
      <c r="A102" s="56" t="s">
        <v>1504</v>
      </c>
    </row>
    <row r="103" spans="1:5" x14ac:dyDescent="0.2">
      <c r="A103" s="13" t="s">
        <v>7</v>
      </c>
      <c r="B103" s="13" t="s">
        <v>92</v>
      </c>
      <c r="C103" s="13" t="s">
        <v>65</v>
      </c>
      <c r="D103" s="13" t="s">
        <v>2</v>
      </c>
      <c r="E103" s="13" t="s">
        <v>93</v>
      </c>
    </row>
    <row r="104" spans="1:5" x14ac:dyDescent="0.2">
      <c r="A104">
        <v>1</v>
      </c>
      <c r="B104" t="s">
        <v>1505</v>
      </c>
      <c r="C104" t="s">
        <v>94</v>
      </c>
      <c r="D104" t="s">
        <v>95</v>
      </c>
      <c r="E104" t="s">
        <v>96</v>
      </c>
    </row>
    <row r="105" spans="1:5" x14ac:dyDescent="0.2">
      <c r="A105">
        <v>2</v>
      </c>
      <c r="B105" t="s">
        <v>1506</v>
      </c>
      <c r="C105" t="s">
        <v>97</v>
      </c>
      <c r="D105" t="s">
        <v>98</v>
      </c>
      <c r="E105" t="s">
        <v>1507</v>
      </c>
    </row>
    <row r="106" spans="1:5" x14ac:dyDescent="0.2">
      <c r="A106">
        <v>3</v>
      </c>
      <c r="B106" t="s">
        <v>1508</v>
      </c>
      <c r="C106" t="s">
        <v>99</v>
      </c>
      <c r="D106" t="s">
        <v>48</v>
      </c>
      <c r="E106" t="s">
        <v>1509</v>
      </c>
    </row>
    <row r="107" spans="1:5" x14ac:dyDescent="0.2">
      <c r="A107">
        <v>4</v>
      </c>
      <c r="B107" t="s">
        <v>1510</v>
      </c>
      <c r="C107" t="s">
        <v>100</v>
      </c>
      <c r="D107" t="s">
        <v>36</v>
      </c>
      <c r="E107" t="s">
        <v>1511</v>
      </c>
    </row>
    <row r="108" spans="1:5" x14ac:dyDescent="0.2">
      <c r="A108">
        <v>5</v>
      </c>
      <c r="B108" t="s">
        <v>102</v>
      </c>
      <c r="C108" t="s">
        <v>103</v>
      </c>
      <c r="D108" t="s">
        <v>48</v>
      </c>
      <c r="E108" t="s">
        <v>104</v>
      </c>
    </row>
    <row r="110" spans="1:5" x14ac:dyDescent="0.2">
      <c r="A110" t="s">
        <v>1512</v>
      </c>
      <c r="B110" t="s">
        <v>1513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21"/>
  <sheetViews>
    <sheetView topLeftCell="B1" workbookViewId="0">
      <pane ySplit="1" topLeftCell="A16" activePane="bottomLeft" state="frozen"/>
      <selection pane="bottomLeft" activeCell="I19" sqref="I19"/>
    </sheetView>
  </sheetViews>
  <sheetFormatPr baseColWidth="10" defaultColWidth="8.83203125" defaultRowHeight="15" x14ac:dyDescent="0.2"/>
  <cols>
    <col min="1" max="1" width="18" customWidth="1"/>
    <col min="2" max="2" width="48" customWidth="1"/>
    <col min="3" max="3" width="42" customWidth="1"/>
    <col min="4" max="5" width="50" customWidth="1"/>
    <col min="6" max="8" width="18" customWidth="1"/>
    <col min="9" max="9" width="22" customWidth="1"/>
    <col min="10" max="10" width="18" customWidth="1"/>
    <col min="11" max="12" width="50" customWidth="1"/>
  </cols>
  <sheetData>
    <row r="1" spans="1:16" ht="28" customHeight="1" x14ac:dyDescent="0.2">
      <c r="A1" s="1" t="s">
        <v>105</v>
      </c>
      <c r="H1" s="27" t="s">
        <v>1266</v>
      </c>
      <c r="I1" s="26" t="s">
        <v>1247</v>
      </c>
      <c r="J1" s="22" t="s">
        <v>1267</v>
      </c>
    </row>
    <row r="3" spans="1:16" ht="22" customHeight="1" x14ac:dyDescent="0.2">
      <c r="A3" s="104"/>
      <c r="B3" s="103"/>
      <c r="C3" s="103"/>
      <c r="D3" s="103"/>
      <c r="E3" s="103"/>
      <c r="F3" s="103"/>
      <c r="G3" s="103"/>
      <c r="H3" s="103"/>
      <c r="I3" s="103"/>
      <c r="J3" s="103"/>
    </row>
    <row r="4" spans="1:16" x14ac:dyDescent="0.2">
      <c r="M4" s="11" t="s">
        <v>1254</v>
      </c>
    </row>
    <row r="5" spans="1:16" ht="22" customHeight="1" x14ac:dyDescent="0.2">
      <c r="A5" s="2" t="s">
        <v>106</v>
      </c>
      <c r="M5" s="9" t="s">
        <v>964</v>
      </c>
      <c r="N5" s="9" t="s">
        <v>1248</v>
      </c>
      <c r="O5" s="9" t="s">
        <v>1249</v>
      </c>
      <c r="P5" s="9" t="s">
        <v>1250</v>
      </c>
    </row>
    <row r="6" spans="1:16" ht="18" customHeight="1" x14ac:dyDescent="0.2">
      <c r="A6" s="105" t="s">
        <v>107</v>
      </c>
      <c r="B6" s="103"/>
      <c r="C6" s="103"/>
      <c r="D6" s="103"/>
      <c r="E6" s="103"/>
      <c r="F6" s="103"/>
      <c r="G6" s="103"/>
      <c r="H6" s="103"/>
      <c r="I6" s="103"/>
      <c r="J6" s="103"/>
      <c r="M6" t="s">
        <v>24</v>
      </c>
      <c r="N6">
        <v>51</v>
      </c>
      <c r="O6">
        <v>82</v>
      </c>
      <c r="P6">
        <v>67</v>
      </c>
    </row>
    <row r="7" spans="1:16" x14ac:dyDescent="0.2">
      <c r="M7" t="s">
        <v>26</v>
      </c>
      <c r="N7">
        <v>47</v>
      </c>
      <c r="O7">
        <v>81</v>
      </c>
      <c r="P7">
        <v>64</v>
      </c>
    </row>
    <row r="8" spans="1:16" ht="48" customHeight="1" x14ac:dyDescent="0.2">
      <c r="A8" s="102" t="s">
        <v>108</v>
      </c>
      <c r="B8" s="103"/>
      <c r="C8" s="103"/>
      <c r="D8" s="103"/>
      <c r="E8" s="103"/>
      <c r="F8" s="103"/>
      <c r="G8" s="103"/>
      <c r="H8" s="103"/>
      <c r="I8" s="103"/>
      <c r="J8" s="103"/>
      <c r="M8" t="s">
        <v>1251</v>
      </c>
      <c r="N8" cm="1">
        <f t="array" ref="N8">SUMPRODUCT(--G66:G79)</f>
        <v>49</v>
      </c>
      <c r="O8" cm="1">
        <f t="array" ref="O8">SUMPRODUCT(--H66:H79)</f>
        <v>82</v>
      </c>
      <c r="P8">
        <f>(N8+O8)/2</f>
        <v>65.5</v>
      </c>
    </row>
    <row r="9" spans="1:16" ht="32" customHeight="1" x14ac:dyDescent="0.2">
      <c r="A9" s="102" t="s">
        <v>109</v>
      </c>
      <c r="B9" s="103"/>
      <c r="C9" s="103"/>
      <c r="D9" s="103"/>
      <c r="E9" s="103"/>
      <c r="F9" s="103"/>
      <c r="G9" s="103"/>
      <c r="H9" s="103"/>
      <c r="I9" s="103"/>
      <c r="J9" s="103"/>
      <c r="M9" t="s">
        <v>1252</v>
      </c>
      <c r="N9">
        <v>113</v>
      </c>
      <c r="O9">
        <v>191</v>
      </c>
      <c r="P9">
        <v>152</v>
      </c>
    </row>
    <row r="10" spans="1:16" x14ac:dyDescent="0.2">
      <c r="M10" s="12" t="s">
        <v>1253</v>
      </c>
      <c r="N10" s="12">
        <v>114</v>
      </c>
      <c r="O10" s="12">
        <v>114</v>
      </c>
      <c r="P10" s="12">
        <v>114</v>
      </c>
    </row>
    <row r="11" spans="1:16" ht="32" customHeight="1" x14ac:dyDescent="0.2">
      <c r="A11" s="105" t="s">
        <v>110</v>
      </c>
      <c r="B11" s="103"/>
      <c r="C11" s="103"/>
      <c r="D11" s="103"/>
      <c r="E11" s="103"/>
      <c r="F11" s="103"/>
      <c r="G11" s="103"/>
      <c r="H11" s="103"/>
      <c r="I11" s="103"/>
      <c r="J11" s="103"/>
    </row>
    <row r="12" spans="1:16" x14ac:dyDescent="0.2">
      <c r="M12" s="13" t="s">
        <v>1315</v>
      </c>
    </row>
    <row r="13" spans="1:16" ht="22" customHeight="1" x14ac:dyDescent="0.2">
      <c r="A13" s="2" t="s">
        <v>111</v>
      </c>
      <c r="M13" s="28" t="s">
        <v>21</v>
      </c>
      <c r="N13" s="29" t="s">
        <v>1316</v>
      </c>
      <c r="O13" s="29" t="s">
        <v>1317</v>
      </c>
      <c r="P13" s="30" t="s">
        <v>1318</v>
      </c>
    </row>
    <row r="14" spans="1:16" ht="48" customHeight="1" x14ac:dyDescent="0.2">
      <c r="A14" s="105" t="s">
        <v>112</v>
      </c>
      <c r="B14" s="103"/>
      <c r="C14" s="103"/>
      <c r="D14" s="103"/>
      <c r="E14" s="103"/>
      <c r="F14" s="103"/>
      <c r="G14" s="103"/>
      <c r="H14" s="103"/>
      <c r="I14" s="103"/>
      <c r="J14" s="103"/>
      <c r="M14" t="s">
        <v>757</v>
      </c>
      <c r="N14" s="31">
        <v>1</v>
      </c>
      <c r="O14" s="32">
        <v>8</v>
      </c>
      <c r="P14" s="33">
        <f>N14*O14*5</f>
        <v>40</v>
      </c>
    </row>
    <row r="15" spans="1:16" x14ac:dyDescent="0.2">
      <c r="M15" t="s">
        <v>758</v>
      </c>
      <c r="N15" s="31">
        <v>1</v>
      </c>
      <c r="O15" s="32">
        <v>8</v>
      </c>
      <c r="P15" s="33">
        <f>N15*O15*5</f>
        <v>40</v>
      </c>
    </row>
    <row r="16" spans="1:16" ht="80" customHeight="1" x14ac:dyDescent="0.2">
      <c r="A16" s="105" t="s">
        <v>113</v>
      </c>
      <c r="B16" s="103"/>
      <c r="C16" s="103"/>
      <c r="D16" s="103"/>
      <c r="E16" s="103"/>
      <c r="F16" s="103"/>
      <c r="G16" s="103"/>
      <c r="H16" s="103"/>
      <c r="I16" s="103"/>
      <c r="J16" s="103"/>
      <c r="M16" t="s">
        <v>72</v>
      </c>
      <c r="N16" s="31">
        <v>1</v>
      </c>
      <c r="O16" s="32">
        <v>8</v>
      </c>
      <c r="P16" s="33">
        <f>N16*O16*5</f>
        <v>40</v>
      </c>
    </row>
    <row r="17" spans="1:16" x14ac:dyDescent="0.2">
      <c r="M17" s="10" t="s">
        <v>1319</v>
      </c>
      <c r="P17" s="34">
        <f>SUM(P14:P16)</f>
        <v>120</v>
      </c>
    </row>
    <row r="18" spans="1:16" ht="20" customHeight="1" x14ac:dyDescent="0.2">
      <c r="A18" s="7" t="s">
        <v>114</v>
      </c>
      <c r="M18" t="s">
        <v>1320</v>
      </c>
      <c r="N18" s="31">
        <v>-0.2</v>
      </c>
      <c r="P18" s="33">
        <f>P17*N18</f>
        <v>-24</v>
      </c>
    </row>
    <row r="19" spans="1:16" ht="28" customHeight="1" x14ac:dyDescent="0.2">
      <c r="A19" s="3" t="s">
        <v>61</v>
      </c>
      <c r="B19" s="3" t="s">
        <v>115</v>
      </c>
      <c r="C19" s="3" t="s">
        <v>116</v>
      </c>
      <c r="D19" s="3" t="s">
        <v>117</v>
      </c>
      <c r="E19" s="3" t="s">
        <v>118</v>
      </c>
      <c r="F19" s="3" t="s">
        <v>119</v>
      </c>
      <c r="G19" s="3" t="s">
        <v>120</v>
      </c>
      <c r="H19" s="3" t="s">
        <v>121</v>
      </c>
      <c r="I19" s="3" t="s">
        <v>2</v>
      </c>
      <c r="J19" s="3" t="s">
        <v>122</v>
      </c>
      <c r="K19" s="3" t="s">
        <v>123</v>
      </c>
      <c r="M19" s="35" t="s">
        <v>1321</v>
      </c>
      <c r="P19" s="33">
        <v>-9</v>
      </c>
    </row>
    <row r="20" spans="1:16" ht="48" customHeight="1" x14ac:dyDescent="0.2">
      <c r="A20" s="4" t="s">
        <v>124</v>
      </c>
      <c r="B20" s="4" t="s">
        <v>125</v>
      </c>
      <c r="C20" s="4" t="s">
        <v>126</v>
      </c>
      <c r="D20" s="4" t="s">
        <v>127</v>
      </c>
      <c r="E20" s="4" t="s">
        <v>128</v>
      </c>
      <c r="F20" s="4" t="s">
        <v>23</v>
      </c>
      <c r="G20" s="4" t="s">
        <v>27</v>
      </c>
      <c r="H20" s="4" t="s">
        <v>129</v>
      </c>
      <c r="I20" s="4" t="s">
        <v>130</v>
      </c>
      <c r="J20" s="4" t="s">
        <v>131</v>
      </c>
      <c r="K20" s="4" t="s">
        <v>132</v>
      </c>
      <c r="M20" s="37" t="s">
        <v>1322</v>
      </c>
      <c r="P20" s="38">
        <f>P17+P18+P19</f>
        <v>87</v>
      </c>
    </row>
    <row r="21" spans="1:16" ht="48" customHeight="1" x14ac:dyDescent="0.2">
      <c r="A21" s="5" t="s">
        <v>133</v>
      </c>
      <c r="B21" s="5" t="s">
        <v>125</v>
      </c>
      <c r="C21" s="5" t="s">
        <v>134</v>
      </c>
      <c r="D21" s="5" t="s">
        <v>135</v>
      </c>
      <c r="E21" s="5" t="s">
        <v>128</v>
      </c>
      <c r="F21" s="5" t="s">
        <v>23</v>
      </c>
      <c r="G21" s="5" t="s">
        <v>25</v>
      </c>
      <c r="H21" s="5" t="s">
        <v>129</v>
      </c>
      <c r="I21" s="5" t="s">
        <v>130</v>
      </c>
      <c r="J21" s="5" t="s">
        <v>131</v>
      </c>
      <c r="K21" s="5" t="s">
        <v>136</v>
      </c>
    </row>
    <row r="22" spans="1:16" ht="48" customHeight="1" x14ac:dyDescent="0.2">
      <c r="A22" s="4" t="s">
        <v>137</v>
      </c>
      <c r="B22" s="4" t="s">
        <v>138</v>
      </c>
      <c r="C22" s="4" t="s">
        <v>139</v>
      </c>
      <c r="D22" s="4" t="s">
        <v>140</v>
      </c>
      <c r="E22" s="4" t="s">
        <v>128</v>
      </c>
      <c r="F22" s="4" t="s">
        <v>25</v>
      </c>
      <c r="G22" s="4" t="s">
        <v>101</v>
      </c>
      <c r="H22" s="4" t="s">
        <v>129</v>
      </c>
      <c r="I22" s="4" t="s">
        <v>130</v>
      </c>
      <c r="J22" s="4" t="s">
        <v>131</v>
      </c>
      <c r="K22" s="4" t="s">
        <v>141</v>
      </c>
      <c r="M22" s="39" t="s">
        <v>1323</v>
      </c>
    </row>
    <row r="23" spans="1:16" ht="32" customHeight="1" x14ac:dyDescent="0.2">
      <c r="A23" s="5" t="s">
        <v>142</v>
      </c>
      <c r="B23" s="5" t="s">
        <v>138</v>
      </c>
      <c r="C23" s="5" t="s">
        <v>143</v>
      </c>
      <c r="D23" s="5" t="s">
        <v>144</v>
      </c>
      <c r="E23" s="5" t="s">
        <v>128</v>
      </c>
      <c r="F23" s="5" t="s">
        <v>23</v>
      </c>
      <c r="G23" s="5" t="s">
        <v>25</v>
      </c>
      <c r="H23" s="5" t="s">
        <v>129</v>
      </c>
      <c r="I23" s="5" t="s">
        <v>130</v>
      </c>
      <c r="J23" s="5" t="s">
        <v>157</v>
      </c>
      <c r="K23" s="5" t="s">
        <v>145</v>
      </c>
      <c r="M23" s="40" t="s">
        <v>1348</v>
      </c>
      <c r="N23" s="31">
        <v>0.35</v>
      </c>
      <c r="O23" s="32">
        <v>8</v>
      </c>
      <c r="P23" s="33">
        <f>N23*O23*5</f>
        <v>14</v>
      </c>
    </row>
    <row r="24" spans="1:16" ht="48" customHeight="1" x14ac:dyDescent="0.2">
      <c r="A24" s="4" t="s">
        <v>146</v>
      </c>
      <c r="B24" s="4" t="s">
        <v>147</v>
      </c>
      <c r="C24" s="4" t="s">
        <v>148</v>
      </c>
      <c r="D24" s="4" t="s">
        <v>149</v>
      </c>
      <c r="E24" s="4" t="s">
        <v>128</v>
      </c>
      <c r="F24" s="4" t="s">
        <v>101</v>
      </c>
      <c r="G24" s="4" t="s">
        <v>150</v>
      </c>
      <c r="H24" s="4" t="s">
        <v>151</v>
      </c>
      <c r="I24" s="4" t="s">
        <v>130</v>
      </c>
      <c r="J24" s="4" t="s">
        <v>152</v>
      </c>
      <c r="K24" s="4" t="s">
        <v>153</v>
      </c>
      <c r="M24" s="36" t="s">
        <v>1324</v>
      </c>
      <c r="N24" s="52">
        <v>0.2</v>
      </c>
      <c r="O24" s="32">
        <v>8</v>
      </c>
      <c r="P24" s="33">
        <f>N24*O24*5</f>
        <v>8</v>
      </c>
    </row>
    <row r="25" spans="1:16" ht="32" customHeight="1" x14ac:dyDescent="0.2">
      <c r="A25" s="5" t="s">
        <v>154</v>
      </c>
      <c r="B25" s="5" t="s">
        <v>147</v>
      </c>
      <c r="C25" s="5" t="s">
        <v>155</v>
      </c>
      <c r="D25" s="5" t="s">
        <v>156</v>
      </c>
      <c r="E25" s="5" t="s">
        <v>128</v>
      </c>
      <c r="F25" s="5" t="s">
        <v>23</v>
      </c>
      <c r="G25" s="5" t="s">
        <v>27</v>
      </c>
      <c r="H25" s="5" t="s">
        <v>151</v>
      </c>
      <c r="I25" s="5" t="s">
        <v>130</v>
      </c>
      <c r="J25" s="5" t="s">
        <v>157</v>
      </c>
      <c r="K25" s="5" t="s">
        <v>158</v>
      </c>
      <c r="M25" s="40" t="s">
        <v>1325</v>
      </c>
      <c r="N25" s="51">
        <v>0.2</v>
      </c>
      <c r="O25" s="32">
        <v>8</v>
      </c>
      <c r="P25" s="33">
        <f>N25*O25*5</f>
        <v>8</v>
      </c>
    </row>
    <row r="26" spans="1:16" ht="48" customHeight="1" x14ac:dyDescent="0.2">
      <c r="A26" s="4" t="s">
        <v>159</v>
      </c>
      <c r="B26" s="4" t="s">
        <v>160</v>
      </c>
      <c r="C26" s="4" t="s">
        <v>161</v>
      </c>
      <c r="D26" s="4" t="s">
        <v>162</v>
      </c>
      <c r="E26" s="4" t="s">
        <v>128</v>
      </c>
      <c r="F26" s="4" t="s">
        <v>23</v>
      </c>
      <c r="G26" s="4" t="s">
        <v>25</v>
      </c>
      <c r="H26" s="4" t="s">
        <v>129</v>
      </c>
      <c r="I26" s="4" t="s">
        <v>130</v>
      </c>
      <c r="J26" s="4" t="s">
        <v>131</v>
      </c>
      <c r="K26" s="4" t="s">
        <v>163</v>
      </c>
      <c r="M26" s="37" t="s">
        <v>1326</v>
      </c>
      <c r="P26" s="38">
        <f>P20+P23+P24+P25</f>
        <v>117</v>
      </c>
    </row>
    <row r="27" spans="1:16" ht="32" customHeight="1" x14ac:dyDescent="0.2">
      <c r="A27" s="5" t="s">
        <v>164</v>
      </c>
      <c r="B27" s="5" t="s">
        <v>165</v>
      </c>
      <c r="C27" s="5" t="s">
        <v>166</v>
      </c>
      <c r="D27" s="5" t="s">
        <v>167</v>
      </c>
      <c r="E27" s="5" t="s">
        <v>128</v>
      </c>
      <c r="F27" s="5" t="s">
        <v>23</v>
      </c>
      <c r="G27" s="5" t="s">
        <v>25</v>
      </c>
      <c r="H27" s="5" t="s">
        <v>129</v>
      </c>
      <c r="I27" s="5" t="s">
        <v>130</v>
      </c>
      <c r="J27" s="5" t="s">
        <v>131</v>
      </c>
      <c r="K27" s="5" t="s">
        <v>168</v>
      </c>
    </row>
    <row r="28" spans="1:16" ht="48" customHeight="1" x14ac:dyDescent="0.2">
      <c r="A28" s="4" t="s">
        <v>169</v>
      </c>
      <c r="B28" s="4" t="s">
        <v>170</v>
      </c>
      <c r="C28" s="4" t="s">
        <v>171</v>
      </c>
      <c r="D28" s="4" t="s">
        <v>172</v>
      </c>
      <c r="E28" s="4" t="s">
        <v>128</v>
      </c>
      <c r="F28" s="4" t="s">
        <v>25</v>
      </c>
      <c r="G28" s="4" t="s">
        <v>101</v>
      </c>
      <c r="H28" s="4" t="s">
        <v>129</v>
      </c>
      <c r="I28" s="4" t="s">
        <v>130</v>
      </c>
      <c r="J28" s="4" t="s">
        <v>131</v>
      </c>
      <c r="K28" s="4" t="s">
        <v>173</v>
      </c>
      <c r="M28" s="41" t="s">
        <v>1327</v>
      </c>
    </row>
    <row r="29" spans="1:16" ht="32" customHeight="1" x14ac:dyDescent="0.2">
      <c r="A29" s="5" t="s">
        <v>174</v>
      </c>
      <c r="B29" s="5" t="s">
        <v>175</v>
      </c>
      <c r="C29" s="5" t="s">
        <v>176</v>
      </c>
      <c r="D29" s="5" t="s">
        <v>177</v>
      </c>
      <c r="E29" s="5" t="s">
        <v>128</v>
      </c>
      <c r="F29" s="5" t="s">
        <v>23</v>
      </c>
      <c r="G29" s="5" t="s">
        <v>25</v>
      </c>
      <c r="H29" s="5" t="s">
        <v>129</v>
      </c>
      <c r="I29" s="5" t="s">
        <v>130</v>
      </c>
      <c r="J29" s="5" t="s">
        <v>157</v>
      </c>
      <c r="K29" s="5" t="s">
        <v>178</v>
      </c>
      <c r="M29" s="40" t="s">
        <v>1328</v>
      </c>
      <c r="N29" s="31">
        <v>0.5</v>
      </c>
      <c r="O29" s="42" t="s">
        <v>1329</v>
      </c>
      <c r="P29" s="43">
        <f>N29*1.8</f>
        <v>0.9</v>
      </c>
    </row>
    <row r="30" spans="1:16" ht="32" customHeight="1" x14ac:dyDescent="0.2">
      <c r="A30" s="4" t="s">
        <v>179</v>
      </c>
      <c r="B30" s="4" t="s">
        <v>180</v>
      </c>
      <c r="C30" s="4" t="s">
        <v>181</v>
      </c>
      <c r="D30" s="4" t="s">
        <v>182</v>
      </c>
      <c r="E30" s="4" t="s">
        <v>128</v>
      </c>
      <c r="F30" s="4" t="s">
        <v>23</v>
      </c>
      <c r="G30" s="4" t="s">
        <v>25</v>
      </c>
      <c r="H30" s="4" t="s">
        <v>129</v>
      </c>
      <c r="I30" s="4" t="s">
        <v>130</v>
      </c>
      <c r="J30" s="4" t="s">
        <v>157</v>
      </c>
      <c r="K30" s="4" t="s">
        <v>183</v>
      </c>
      <c r="M30" s="36" t="s">
        <v>1330</v>
      </c>
      <c r="N30" s="31">
        <v>0.3</v>
      </c>
      <c r="O30" s="44" t="s">
        <v>1331</v>
      </c>
      <c r="P30" s="43">
        <f>N30*1.3</f>
        <v>0.39</v>
      </c>
    </row>
    <row r="31" spans="1:16" ht="48" customHeight="1" x14ac:dyDescent="0.2">
      <c r="A31" s="5" t="s">
        <v>184</v>
      </c>
      <c r="B31" s="5" t="s">
        <v>185</v>
      </c>
      <c r="C31" s="5" t="s">
        <v>186</v>
      </c>
      <c r="D31" s="5" t="s">
        <v>187</v>
      </c>
      <c r="E31" s="5" t="s">
        <v>128</v>
      </c>
      <c r="F31" s="5" t="s">
        <v>23</v>
      </c>
      <c r="G31" s="5" t="s">
        <v>25</v>
      </c>
      <c r="H31" s="5" t="s">
        <v>151</v>
      </c>
      <c r="I31" s="5" t="s">
        <v>130</v>
      </c>
      <c r="J31" s="5" t="s">
        <v>157</v>
      </c>
      <c r="K31" s="5" t="s">
        <v>188</v>
      </c>
      <c r="M31" s="40" t="s">
        <v>1332</v>
      </c>
      <c r="N31" s="31">
        <v>0.2</v>
      </c>
      <c r="O31" s="42" t="s">
        <v>1333</v>
      </c>
      <c r="P31" s="43">
        <f>N31*1</f>
        <v>0.2</v>
      </c>
    </row>
    <row r="32" spans="1:16" ht="32" customHeight="1" x14ac:dyDescent="0.2">
      <c r="A32" s="4" t="s">
        <v>189</v>
      </c>
      <c r="B32" s="4" t="s">
        <v>190</v>
      </c>
      <c r="C32" s="4" t="s">
        <v>191</v>
      </c>
      <c r="D32" s="4" t="s">
        <v>192</v>
      </c>
      <c r="E32" s="4" t="s">
        <v>128</v>
      </c>
      <c r="F32" s="4" t="s">
        <v>25</v>
      </c>
      <c r="G32" s="4" t="s">
        <v>101</v>
      </c>
      <c r="H32" s="4" t="s">
        <v>129</v>
      </c>
      <c r="I32" s="4" t="s">
        <v>130</v>
      </c>
      <c r="J32" s="4" t="s">
        <v>157</v>
      </c>
      <c r="K32" s="4" t="s">
        <v>193</v>
      </c>
      <c r="M32" s="37" t="s">
        <v>1334</v>
      </c>
      <c r="P32" s="45">
        <f>SUM(P29:P31)</f>
        <v>1.49</v>
      </c>
    </row>
    <row r="33" spans="1:16" ht="48" customHeight="1" x14ac:dyDescent="0.2">
      <c r="A33" s="5" t="s">
        <v>194</v>
      </c>
      <c r="B33" s="5" t="s">
        <v>195</v>
      </c>
      <c r="C33" s="5" t="s">
        <v>196</v>
      </c>
      <c r="D33" s="5" t="s">
        <v>197</v>
      </c>
      <c r="E33" s="5" t="s">
        <v>128</v>
      </c>
      <c r="F33" s="5" t="s">
        <v>27</v>
      </c>
      <c r="G33" s="5" t="s">
        <v>198</v>
      </c>
      <c r="H33" s="5" t="s">
        <v>151</v>
      </c>
      <c r="I33" s="5" t="s">
        <v>130</v>
      </c>
      <c r="J33" s="5" t="s">
        <v>157</v>
      </c>
      <c r="K33" s="5" t="s">
        <v>199</v>
      </c>
    </row>
    <row r="34" spans="1:16" ht="32" customHeight="1" x14ac:dyDescent="0.2">
      <c r="A34" s="4" t="s">
        <v>200</v>
      </c>
      <c r="B34" s="4" t="s">
        <v>201</v>
      </c>
      <c r="C34" s="4" t="s">
        <v>202</v>
      </c>
      <c r="D34" s="4" t="s">
        <v>203</v>
      </c>
      <c r="E34" s="4" t="s">
        <v>128</v>
      </c>
      <c r="F34" s="4" t="s">
        <v>23</v>
      </c>
      <c r="G34" s="4" t="s">
        <v>25</v>
      </c>
      <c r="H34" s="4" t="s">
        <v>129</v>
      </c>
      <c r="I34" s="4" t="s">
        <v>130</v>
      </c>
      <c r="J34" s="4" t="s">
        <v>131</v>
      </c>
      <c r="K34" s="4" t="s">
        <v>204</v>
      </c>
      <c r="M34" s="46" t="s">
        <v>1335</v>
      </c>
      <c r="P34" s="47">
        <f>P26*P32</f>
        <v>174.33</v>
      </c>
    </row>
    <row r="35" spans="1:16" ht="48" customHeight="1" x14ac:dyDescent="0.2">
      <c r="A35" s="5" t="s">
        <v>205</v>
      </c>
      <c r="B35" s="5" t="s">
        <v>206</v>
      </c>
      <c r="C35" s="5" t="s">
        <v>207</v>
      </c>
      <c r="D35" s="5" t="s">
        <v>208</v>
      </c>
      <c r="E35" s="5" t="s">
        <v>128</v>
      </c>
      <c r="F35" s="5" t="s">
        <v>23</v>
      </c>
      <c r="G35" s="5" t="s">
        <v>25</v>
      </c>
      <c r="H35" s="5" t="s">
        <v>129</v>
      </c>
      <c r="I35" s="5" t="s">
        <v>130</v>
      </c>
      <c r="J35" s="5" t="s">
        <v>131</v>
      </c>
      <c r="K35" s="5" t="s">
        <v>209</v>
      </c>
    </row>
    <row r="36" spans="1:16" ht="64" customHeight="1" x14ac:dyDescent="0.2">
      <c r="A36" s="4" t="s">
        <v>210</v>
      </c>
      <c r="B36" s="4" t="s">
        <v>211</v>
      </c>
      <c r="C36" s="4" t="s">
        <v>126</v>
      </c>
      <c r="D36" s="4" t="s">
        <v>212</v>
      </c>
      <c r="E36" s="4" t="s">
        <v>128</v>
      </c>
      <c r="F36" s="4" t="s">
        <v>25</v>
      </c>
      <c r="G36" s="4" t="s">
        <v>101</v>
      </c>
      <c r="H36" s="4" t="s">
        <v>151</v>
      </c>
      <c r="I36" s="4" t="s">
        <v>130</v>
      </c>
      <c r="J36" s="4" t="s">
        <v>152</v>
      </c>
      <c r="K36" s="4" t="s">
        <v>213</v>
      </c>
      <c r="M36" s="37" t="s">
        <v>1336</v>
      </c>
    </row>
    <row r="37" spans="1:16" ht="64" customHeight="1" x14ac:dyDescent="0.2">
      <c r="A37" s="5" t="s">
        <v>214</v>
      </c>
      <c r="B37" s="5" t="s">
        <v>215</v>
      </c>
      <c r="C37" s="5" t="s">
        <v>216</v>
      </c>
      <c r="D37" s="5" t="s">
        <v>217</v>
      </c>
      <c r="E37" s="5" t="s">
        <v>128</v>
      </c>
      <c r="F37" s="5" t="s">
        <v>25</v>
      </c>
      <c r="G37" s="5" t="s">
        <v>101</v>
      </c>
      <c r="H37" s="5" t="s">
        <v>129</v>
      </c>
      <c r="I37" s="5" t="s">
        <v>130</v>
      </c>
      <c r="J37" s="5" t="s">
        <v>157</v>
      </c>
      <c r="K37" s="5" t="s">
        <v>218</v>
      </c>
      <c r="M37" s="40" t="s">
        <v>1337</v>
      </c>
      <c r="P37" s="33">
        <f>P6+P7+P8+P9</f>
        <v>348.5</v>
      </c>
    </row>
    <row r="38" spans="1:16" ht="32" customHeight="1" x14ac:dyDescent="0.2">
      <c r="A38" s="4" t="s">
        <v>219</v>
      </c>
      <c r="B38" s="4" t="s">
        <v>220</v>
      </c>
      <c r="C38" s="4" t="s">
        <v>221</v>
      </c>
      <c r="D38" s="4" t="s">
        <v>222</v>
      </c>
      <c r="E38" s="4" t="s">
        <v>128</v>
      </c>
      <c r="F38" s="4" t="s">
        <v>23</v>
      </c>
      <c r="G38" s="4" t="s">
        <v>25</v>
      </c>
      <c r="H38" s="4" t="s">
        <v>129</v>
      </c>
      <c r="I38" s="4" t="s">
        <v>130</v>
      </c>
      <c r="J38" s="4" t="s">
        <v>157</v>
      </c>
      <c r="K38" s="4" t="s">
        <v>223</v>
      </c>
      <c r="M38" s="36" t="s">
        <v>1338</v>
      </c>
      <c r="P38" s="33">
        <f>N6+N7+N8+N9</f>
        <v>260</v>
      </c>
    </row>
    <row r="39" spans="1:16" ht="48" customHeight="1" x14ac:dyDescent="0.2">
      <c r="A39" s="5" t="s">
        <v>224</v>
      </c>
      <c r="B39" s="5" t="s">
        <v>225</v>
      </c>
      <c r="C39" s="5" t="s">
        <v>226</v>
      </c>
      <c r="D39" s="5" t="s">
        <v>227</v>
      </c>
      <c r="E39" s="5" t="s">
        <v>128</v>
      </c>
      <c r="F39" s="5" t="s">
        <v>23</v>
      </c>
      <c r="G39" s="5" t="s">
        <v>25</v>
      </c>
      <c r="H39" s="5" t="s">
        <v>129</v>
      </c>
      <c r="I39" s="5" t="s">
        <v>130</v>
      </c>
      <c r="J39" s="5" t="s">
        <v>131</v>
      </c>
      <c r="K39" s="5" t="s">
        <v>228</v>
      </c>
      <c r="M39" s="48" t="s">
        <v>1339</v>
      </c>
      <c r="P39" s="49">
        <f>P37/P34</f>
        <v>1.9990822004244821</v>
      </c>
    </row>
    <row r="40" spans="1:16" ht="32" customHeight="1" x14ac:dyDescent="0.2">
      <c r="A40" s="4" t="s">
        <v>229</v>
      </c>
      <c r="B40" s="4" t="s">
        <v>230</v>
      </c>
      <c r="C40" s="4" t="s">
        <v>231</v>
      </c>
      <c r="D40" s="4" t="s">
        <v>232</v>
      </c>
      <c r="E40" s="4" t="s">
        <v>128</v>
      </c>
      <c r="F40" s="4" t="s">
        <v>22</v>
      </c>
      <c r="G40" s="4" t="s">
        <v>23</v>
      </c>
      <c r="H40" s="4" t="s">
        <v>129</v>
      </c>
      <c r="I40" s="4" t="s">
        <v>130</v>
      </c>
      <c r="J40" s="4" t="s">
        <v>131</v>
      </c>
      <c r="K40" s="4" t="s">
        <v>233</v>
      </c>
      <c r="M40" s="36" t="s">
        <v>1340</v>
      </c>
      <c r="P40" s="50">
        <f>P38/P34</f>
        <v>1.4914243102162563</v>
      </c>
    </row>
    <row r="42" spans="1:16" ht="20" customHeight="1" x14ac:dyDescent="0.2">
      <c r="A42" s="7" t="s">
        <v>234</v>
      </c>
    </row>
    <row r="43" spans="1:16" ht="28" customHeight="1" x14ac:dyDescent="0.2">
      <c r="A43" s="3" t="s">
        <v>61</v>
      </c>
      <c r="B43" s="3" t="s">
        <v>115</v>
      </c>
      <c r="C43" s="3" t="s">
        <v>116</v>
      </c>
      <c r="D43" s="3" t="s">
        <v>117</v>
      </c>
      <c r="E43" s="3" t="s">
        <v>118</v>
      </c>
      <c r="F43" s="3" t="s">
        <v>119</v>
      </c>
      <c r="G43" s="3" t="s">
        <v>120</v>
      </c>
      <c r="H43" s="3" t="s">
        <v>121</v>
      </c>
      <c r="I43" s="3" t="s">
        <v>2</v>
      </c>
      <c r="J43" s="3" t="s">
        <v>122</v>
      </c>
      <c r="K43" s="3" t="s">
        <v>123</v>
      </c>
    </row>
    <row r="44" spans="1:16" ht="48" customHeight="1" x14ac:dyDescent="0.2">
      <c r="A44" s="4" t="s">
        <v>235</v>
      </c>
      <c r="B44" s="4" t="s">
        <v>125</v>
      </c>
      <c r="C44" s="4" t="s">
        <v>236</v>
      </c>
      <c r="D44" s="4" t="s">
        <v>237</v>
      </c>
      <c r="E44" s="4" t="s">
        <v>238</v>
      </c>
      <c r="F44" s="4" t="s">
        <v>25</v>
      </c>
      <c r="G44" s="4" t="s">
        <v>101</v>
      </c>
      <c r="H44" s="4" t="s">
        <v>129</v>
      </c>
      <c r="I44" s="4" t="s">
        <v>239</v>
      </c>
      <c r="J44" s="4" t="s">
        <v>131</v>
      </c>
      <c r="K44" s="4" t="s">
        <v>240</v>
      </c>
    </row>
    <row r="45" spans="1:16" ht="48" customHeight="1" x14ac:dyDescent="0.2">
      <c r="A45" s="5" t="s">
        <v>241</v>
      </c>
      <c r="B45" s="5" t="s">
        <v>242</v>
      </c>
      <c r="C45" s="5" t="s">
        <v>243</v>
      </c>
      <c r="D45" s="5" t="s">
        <v>244</v>
      </c>
      <c r="E45" s="5" t="s">
        <v>238</v>
      </c>
      <c r="F45" s="5" t="s">
        <v>23</v>
      </c>
      <c r="G45" s="5" t="s">
        <v>27</v>
      </c>
      <c r="H45" s="5" t="s">
        <v>129</v>
      </c>
      <c r="I45" s="5" t="s">
        <v>239</v>
      </c>
      <c r="J45" s="5" t="s">
        <v>131</v>
      </c>
      <c r="K45" s="5" t="s">
        <v>245</v>
      </c>
    </row>
    <row r="46" spans="1:16" ht="48" customHeight="1" x14ac:dyDescent="0.2">
      <c r="A46" s="4" t="s">
        <v>246</v>
      </c>
      <c r="B46" s="4" t="s">
        <v>247</v>
      </c>
      <c r="C46" s="4" t="s">
        <v>248</v>
      </c>
      <c r="D46" s="4" t="s">
        <v>1350</v>
      </c>
      <c r="E46" s="4" t="s">
        <v>238</v>
      </c>
      <c r="F46" s="4" t="s">
        <v>101</v>
      </c>
      <c r="G46" s="4" t="s">
        <v>150</v>
      </c>
      <c r="H46" s="4" t="s">
        <v>129</v>
      </c>
      <c r="I46" s="4" t="s">
        <v>239</v>
      </c>
      <c r="J46" s="4" t="s">
        <v>131</v>
      </c>
      <c r="K46" s="4" t="s">
        <v>249</v>
      </c>
    </row>
    <row r="47" spans="1:16" ht="48" customHeight="1" x14ac:dyDescent="0.2">
      <c r="A47" s="5" t="s">
        <v>250</v>
      </c>
      <c r="B47" s="5" t="s">
        <v>251</v>
      </c>
      <c r="C47" s="5" t="s">
        <v>252</v>
      </c>
      <c r="D47" s="5" t="s">
        <v>253</v>
      </c>
      <c r="E47" s="5" t="s">
        <v>238</v>
      </c>
      <c r="F47" s="5" t="s">
        <v>27</v>
      </c>
      <c r="G47" s="5" t="s">
        <v>254</v>
      </c>
      <c r="H47" s="5" t="s">
        <v>129</v>
      </c>
      <c r="I47" s="5" t="s">
        <v>239</v>
      </c>
      <c r="J47" s="5" t="s">
        <v>131</v>
      </c>
      <c r="K47" s="5" t="s">
        <v>255</v>
      </c>
    </row>
    <row r="48" spans="1:16" ht="32" customHeight="1" x14ac:dyDescent="0.2">
      <c r="A48" s="4" t="s">
        <v>256</v>
      </c>
      <c r="B48" s="4" t="s">
        <v>257</v>
      </c>
      <c r="C48" s="4" t="s">
        <v>258</v>
      </c>
      <c r="D48" s="4" t="s">
        <v>259</v>
      </c>
      <c r="E48" s="4" t="s">
        <v>238</v>
      </c>
      <c r="F48" s="4" t="s">
        <v>23</v>
      </c>
      <c r="G48" s="4" t="s">
        <v>25</v>
      </c>
      <c r="H48" s="4" t="s">
        <v>129</v>
      </c>
      <c r="I48" s="4" t="s">
        <v>239</v>
      </c>
      <c r="J48" s="4" t="s">
        <v>131</v>
      </c>
      <c r="K48" s="4" t="s">
        <v>260</v>
      </c>
    </row>
    <row r="49" spans="1:11" ht="48" customHeight="1" x14ac:dyDescent="0.2">
      <c r="A49" s="5" t="s">
        <v>261</v>
      </c>
      <c r="B49" s="5" t="s">
        <v>262</v>
      </c>
      <c r="C49" s="5" t="s">
        <v>263</v>
      </c>
      <c r="D49" s="5" t="s">
        <v>264</v>
      </c>
      <c r="E49" s="5" t="s">
        <v>238</v>
      </c>
      <c r="F49" s="5" t="s">
        <v>23</v>
      </c>
      <c r="G49" s="5" t="s">
        <v>25</v>
      </c>
      <c r="H49" s="5" t="s">
        <v>129</v>
      </c>
      <c r="I49" s="5" t="s">
        <v>239</v>
      </c>
      <c r="J49" s="5" t="s">
        <v>157</v>
      </c>
      <c r="K49" s="5" t="s">
        <v>265</v>
      </c>
    </row>
    <row r="50" spans="1:11" ht="32" customHeight="1" x14ac:dyDescent="0.2">
      <c r="A50" s="4" t="s">
        <v>266</v>
      </c>
      <c r="B50" s="4" t="s">
        <v>267</v>
      </c>
      <c r="C50" s="4" t="s">
        <v>268</v>
      </c>
      <c r="D50" s="4" t="s">
        <v>269</v>
      </c>
      <c r="E50" s="4" t="s">
        <v>238</v>
      </c>
      <c r="F50" s="4" t="s">
        <v>22</v>
      </c>
      <c r="G50" s="4" t="s">
        <v>23</v>
      </c>
      <c r="H50" s="4" t="s">
        <v>129</v>
      </c>
      <c r="I50" s="4" t="s">
        <v>239</v>
      </c>
      <c r="J50" s="4" t="s">
        <v>157</v>
      </c>
      <c r="K50" s="4" t="s">
        <v>270</v>
      </c>
    </row>
    <row r="51" spans="1:11" ht="32" customHeight="1" x14ac:dyDescent="0.2">
      <c r="A51" s="5" t="s">
        <v>271</v>
      </c>
      <c r="B51" s="5" t="s">
        <v>272</v>
      </c>
      <c r="C51" s="5" t="s">
        <v>273</v>
      </c>
      <c r="D51" s="5" t="s">
        <v>274</v>
      </c>
      <c r="E51" s="5" t="s">
        <v>238</v>
      </c>
      <c r="F51" s="5" t="s">
        <v>25</v>
      </c>
      <c r="G51" s="5" t="s">
        <v>101</v>
      </c>
      <c r="H51" s="5" t="s">
        <v>151</v>
      </c>
      <c r="I51" s="5" t="s">
        <v>239</v>
      </c>
      <c r="J51" s="5" t="s">
        <v>157</v>
      </c>
      <c r="K51" s="5" t="s">
        <v>275</v>
      </c>
    </row>
    <row r="52" spans="1:11" ht="48" customHeight="1" x14ac:dyDescent="0.2">
      <c r="A52" s="4" t="s">
        <v>276</v>
      </c>
      <c r="B52" s="4" t="s">
        <v>277</v>
      </c>
      <c r="C52" s="4" t="s">
        <v>278</v>
      </c>
      <c r="D52" s="4" t="s">
        <v>279</v>
      </c>
      <c r="E52" s="4" t="s">
        <v>238</v>
      </c>
      <c r="F52" s="4" t="s">
        <v>25</v>
      </c>
      <c r="G52" s="4" t="s">
        <v>101</v>
      </c>
      <c r="H52" s="4" t="s">
        <v>129</v>
      </c>
      <c r="I52" s="4" t="s">
        <v>239</v>
      </c>
      <c r="J52" s="4" t="s">
        <v>131</v>
      </c>
      <c r="K52" s="4" t="s">
        <v>280</v>
      </c>
    </row>
    <row r="53" spans="1:11" ht="48" customHeight="1" x14ac:dyDescent="0.2">
      <c r="A53" s="5" t="s">
        <v>281</v>
      </c>
      <c r="B53" s="5" t="s">
        <v>282</v>
      </c>
      <c r="C53" s="5" t="s">
        <v>283</v>
      </c>
      <c r="D53" s="5" t="s">
        <v>284</v>
      </c>
      <c r="E53" s="5" t="s">
        <v>238</v>
      </c>
      <c r="F53" s="5" t="s">
        <v>23</v>
      </c>
      <c r="G53" s="5" t="s">
        <v>25</v>
      </c>
      <c r="H53" s="5" t="s">
        <v>151</v>
      </c>
      <c r="I53" s="5" t="s">
        <v>239</v>
      </c>
      <c r="J53" s="5" t="s">
        <v>157</v>
      </c>
      <c r="K53" s="5" t="s">
        <v>285</v>
      </c>
    </row>
    <row r="54" spans="1:11" ht="32" customHeight="1" x14ac:dyDescent="0.2">
      <c r="A54" s="4" t="s">
        <v>286</v>
      </c>
      <c r="B54" s="4" t="s">
        <v>287</v>
      </c>
      <c r="C54" s="4" t="s">
        <v>288</v>
      </c>
      <c r="D54" s="4" t="s">
        <v>289</v>
      </c>
      <c r="E54" s="4" t="s">
        <v>238</v>
      </c>
      <c r="F54" s="4" t="s">
        <v>23</v>
      </c>
      <c r="G54" s="4" t="s">
        <v>25</v>
      </c>
      <c r="H54" s="4" t="s">
        <v>129</v>
      </c>
      <c r="I54" s="4" t="s">
        <v>239</v>
      </c>
      <c r="J54" s="4" t="s">
        <v>131</v>
      </c>
      <c r="K54" s="4" t="s">
        <v>290</v>
      </c>
    </row>
    <row r="55" spans="1:11" ht="48" customHeight="1" x14ac:dyDescent="0.2">
      <c r="A55" s="5" t="s">
        <v>291</v>
      </c>
      <c r="B55" s="5" t="s">
        <v>292</v>
      </c>
      <c r="C55" s="5" t="s">
        <v>293</v>
      </c>
      <c r="D55" s="5" t="s">
        <v>294</v>
      </c>
      <c r="E55" s="5" t="s">
        <v>238</v>
      </c>
      <c r="F55" s="5" t="s">
        <v>25</v>
      </c>
      <c r="G55" s="5" t="s">
        <v>101</v>
      </c>
      <c r="H55" s="5" t="s">
        <v>151</v>
      </c>
      <c r="I55" s="5" t="s">
        <v>239</v>
      </c>
      <c r="J55" s="5" t="s">
        <v>295</v>
      </c>
      <c r="K55" s="5" t="s">
        <v>296</v>
      </c>
    </row>
    <row r="56" spans="1:11" ht="32" customHeight="1" x14ac:dyDescent="0.2">
      <c r="A56" s="4" t="s">
        <v>297</v>
      </c>
      <c r="B56" s="4" t="s">
        <v>298</v>
      </c>
      <c r="C56" s="4" t="s">
        <v>299</v>
      </c>
      <c r="D56" s="4" t="s">
        <v>300</v>
      </c>
      <c r="E56" s="4" t="s">
        <v>238</v>
      </c>
      <c r="F56" s="4" t="s">
        <v>23</v>
      </c>
      <c r="G56" s="4" t="s">
        <v>27</v>
      </c>
      <c r="H56" s="4" t="s">
        <v>129</v>
      </c>
      <c r="I56" s="4" t="s">
        <v>239</v>
      </c>
      <c r="J56" s="4" t="s">
        <v>157</v>
      </c>
      <c r="K56" s="4" t="s">
        <v>301</v>
      </c>
    </row>
    <row r="57" spans="1:11" ht="32" customHeight="1" x14ac:dyDescent="0.2">
      <c r="A57" s="5" t="s">
        <v>302</v>
      </c>
      <c r="B57" s="5" t="s">
        <v>206</v>
      </c>
      <c r="C57" s="5" t="s">
        <v>303</v>
      </c>
      <c r="D57" s="5" t="s">
        <v>304</v>
      </c>
      <c r="E57" s="5" t="s">
        <v>238</v>
      </c>
      <c r="F57" s="5" t="s">
        <v>23</v>
      </c>
      <c r="G57" s="5" t="s">
        <v>25</v>
      </c>
      <c r="H57" s="5" t="s">
        <v>129</v>
      </c>
      <c r="I57" s="5" t="s">
        <v>239</v>
      </c>
      <c r="J57" s="5" t="s">
        <v>157</v>
      </c>
      <c r="K57" s="5" t="s">
        <v>305</v>
      </c>
    </row>
    <row r="58" spans="1:11" ht="48" customHeight="1" x14ac:dyDescent="0.2">
      <c r="A58" s="4" t="s">
        <v>306</v>
      </c>
      <c r="B58" s="4" t="s">
        <v>307</v>
      </c>
      <c r="C58" s="4" t="s">
        <v>308</v>
      </c>
      <c r="D58" s="4" t="s">
        <v>309</v>
      </c>
      <c r="E58" s="4" t="s">
        <v>238</v>
      </c>
      <c r="F58" s="4" t="s">
        <v>25</v>
      </c>
      <c r="G58" s="4" t="s">
        <v>101</v>
      </c>
      <c r="H58" s="4" t="s">
        <v>129</v>
      </c>
      <c r="I58" s="4" t="s">
        <v>239</v>
      </c>
      <c r="J58" s="4" t="s">
        <v>157</v>
      </c>
      <c r="K58" s="4" t="s">
        <v>310</v>
      </c>
    </row>
    <row r="59" spans="1:11" ht="32" customHeight="1" x14ac:dyDescent="0.2">
      <c r="A59" s="5" t="s">
        <v>311</v>
      </c>
      <c r="B59" s="5" t="s">
        <v>312</v>
      </c>
      <c r="C59" s="5" t="s">
        <v>313</v>
      </c>
      <c r="D59" s="5" t="s">
        <v>314</v>
      </c>
      <c r="E59" s="5" t="s">
        <v>238</v>
      </c>
      <c r="F59" s="5" t="s">
        <v>23</v>
      </c>
      <c r="G59" s="5" t="s">
        <v>27</v>
      </c>
      <c r="H59" s="5" t="s">
        <v>151</v>
      </c>
      <c r="I59" s="5" t="s">
        <v>239</v>
      </c>
      <c r="J59" s="5" t="s">
        <v>157</v>
      </c>
      <c r="K59" s="5" t="s">
        <v>315</v>
      </c>
    </row>
    <row r="60" spans="1:11" ht="32" customHeight="1" x14ac:dyDescent="0.2">
      <c r="A60" s="4" t="s">
        <v>316</v>
      </c>
      <c r="B60" s="4" t="s">
        <v>317</v>
      </c>
      <c r="C60" s="4" t="s">
        <v>318</v>
      </c>
      <c r="D60" s="4" t="s">
        <v>319</v>
      </c>
      <c r="E60" s="4" t="s">
        <v>238</v>
      </c>
      <c r="F60" s="4" t="s">
        <v>23</v>
      </c>
      <c r="G60" s="4" t="s">
        <v>27</v>
      </c>
      <c r="H60" s="4" t="s">
        <v>151</v>
      </c>
      <c r="I60" s="4" t="s">
        <v>239</v>
      </c>
      <c r="J60" s="4" t="s">
        <v>157</v>
      </c>
      <c r="K60" s="4" t="s">
        <v>320</v>
      </c>
    </row>
    <row r="61" spans="1:11" ht="32" customHeight="1" x14ac:dyDescent="0.2">
      <c r="A61" s="5" t="s">
        <v>321</v>
      </c>
      <c r="B61" s="5" t="s">
        <v>322</v>
      </c>
      <c r="C61" s="5" t="s">
        <v>323</v>
      </c>
      <c r="D61" s="5" t="s">
        <v>324</v>
      </c>
      <c r="E61" s="5" t="s">
        <v>238</v>
      </c>
      <c r="F61" s="5" t="s">
        <v>23</v>
      </c>
      <c r="G61" s="5" t="s">
        <v>27</v>
      </c>
      <c r="H61" s="5" t="s">
        <v>151</v>
      </c>
      <c r="I61" s="5" t="s">
        <v>239</v>
      </c>
      <c r="J61" s="5" t="s">
        <v>157</v>
      </c>
      <c r="K61" s="5" t="s">
        <v>325</v>
      </c>
    </row>
    <row r="62" spans="1:11" ht="48" customHeight="1" x14ac:dyDescent="0.2">
      <c r="A62" s="4" t="s">
        <v>326</v>
      </c>
      <c r="B62" s="4" t="s">
        <v>327</v>
      </c>
      <c r="C62" s="4" t="s">
        <v>328</v>
      </c>
      <c r="D62" s="4" t="s">
        <v>329</v>
      </c>
      <c r="E62" s="4" t="s">
        <v>238</v>
      </c>
      <c r="F62" s="4" t="s">
        <v>23</v>
      </c>
      <c r="G62" s="4" t="s">
        <v>27</v>
      </c>
      <c r="H62" s="4" t="s">
        <v>129</v>
      </c>
      <c r="I62" s="4" t="s">
        <v>239</v>
      </c>
      <c r="J62" s="4" t="s">
        <v>157</v>
      </c>
      <c r="K62" s="4" t="s">
        <v>330</v>
      </c>
    </row>
    <row r="64" spans="1:11" ht="20" customHeight="1" x14ac:dyDescent="0.2">
      <c r="A64" s="7" t="s">
        <v>331</v>
      </c>
    </row>
    <row r="65" spans="1:12" ht="28" customHeight="1" x14ac:dyDescent="0.2">
      <c r="A65" s="3" t="s">
        <v>61</v>
      </c>
      <c r="B65" s="3" t="s">
        <v>332</v>
      </c>
      <c r="C65" s="3" t="s">
        <v>115</v>
      </c>
      <c r="D65" s="3" t="s">
        <v>116</v>
      </c>
      <c r="E65" s="3" t="s">
        <v>117</v>
      </c>
      <c r="F65" s="3" t="s">
        <v>118</v>
      </c>
      <c r="G65" s="3" t="s">
        <v>119</v>
      </c>
      <c r="H65" s="3" t="s">
        <v>120</v>
      </c>
      <c r="I65" s="3" t="s">
        <v>121</v>
      </c>
      <c r="J65" s="3" t="s">
        <v>2</v>
      </c>
      <c r="K65" s="3" t="s">
        <v>122</v>
      </c>
      <c r="L65" s="3" t="s">
        <v>123</v>
      </c>
    </row>
    <row r="66" spans="1:12" ht="48" customHeight="1" x14ac:dyDescent="0.2">
      <c r="A66" s="4" t="s">
        <v>333</v>
      </c>
      <c r="B66" s="4" t="s">
        <v>22</v>
      </c>
      <c r="C66" s="4" t="s">
        <v>334</v>
      </c>
      <c r="D66" s="4" t="s">
        <v>335</v>
      </c>
      <c r="E66" s="4" t="s">
        <v>336</v>
      </c>
      <c r="F66" s="4" t="s">
        <v>337</v>
      </c>
      <c r="G66" s="4" t="s">
        <v>25</v>
      </c>
      <c r="H66" s="4" t="s">
        <v>101</v>
      </c>
      <c r="I66" s="4" t="s">
        <v>129</v>
      </c>
      <c r="J66" s="4" t="s">
        <v>51</v>
      </c>
      <c r="K66" s="4" t="s">
        <v>131</v>
      </c>
      <c r="L66" s="4" t="s">
        <v>338</v>
      </c>
    </row>
    <row r="67" spans="1:12" ht="32" customHeight="1" x14ac:dyDescent="0.2">
      <c r="A67" s="5" t="s">
        <v>339</v>
      </c>
      <c r="B67" s="5" t="s">
        <v>22</v>
      </c>
      <c r="C67" s="5" t="s">
        <v>340</v>
      </c>
      <c r="D67" s="5" t="s">
        <v>341</v>
      </c>
      <c r="E67" s="5" t="s">
        <v>342</v>
      </c>
      <c r="F67" s="5" t="s">
        <v>337</v>
      </c>
      <c r="G67" s="5" t="s">
        <v>25</v>
      </c>
      <c r="H67" s="5" t="s">
        <v>101</v>
      </c>
      <c r="I67" s="5" t="s">
        <v>151</v>
      </c>
      <c r="J67" s="5" t="s">
        <v>51</v>
      </c>
      <c r="K67" s="5" t="s">
        <v>131</v>
      </c>
      <c r="L67" s="5" t="s">
        <v>343</v>
      </c>
    </row>
    <row r="68" spans="1:12" ht="32" customHeight="1" x14ac:dyDescent="0.2">
      <c r="A68" s="4" t="s">
        <v>344</v>
      </c>
      <c r="B68" s="4" t="s">
        <v>22</v>
      </c>
      <c r="C68" s="4" t="s">
        <v>121</v>
      </c>
      <c r="D68" s="4" t="s">
        <v>345</v>
      </c>
      <c r="E68" s="4" t="s">
        <v>346</v>
      </c>
      <c r="F68" s="4" t="s">
        <v>337</v>
      </c>
      <c r="G68" s="4" t="s">
        <v>27</v>
      </c>
      <c r="H68" s="4" t="s">
        <v>198</v>
      </c>
      <c r="I68" s="4" t="s">
        <v>347</v>
      </c>
      <c r="J68" s="4" t="s">
        <v>51</v>
      </c>
      <c r="K68" s="4" t="s">
        <v>157</v>
      </c>
      <c r="L68" s="4" t="s">
        <v>348</v>
      </c>
    </row>
    <row r="69" spans="1:12" ht="48" customHeight="1" x14ac:dyDescent="0.2">
      <c r="A69" s="5" t="s">
        <v>349</v>
      </c>
      <c r="B69" s="5" t="s">
        <v>22</v>
      </c>
      <c r="C69" s="5" t="s">
        <v>350</v>
      </c>
      <c r="D69" s="5" t="s">
        <v>351</v>
      </c>
      <c r="E69" s="5" t="s">
        <v>352</v>
      </c>
      <c r="F69" s="5" t="s">
        <v>337</v>
      </c>
      <c r="G69" s="5" t="s">
        <v>27</v>
      </c>
      <c r="H69" s="5" t="s">
        <v>254</v>
      </c>
      <c r="I69" s="5" t="s">
        <v>151</v>
      </c>
      <c r="J69" s="5" t="s">
        <v>51</v>
      </c>
      <c r="K69" s="5" t="s">
        <v>157</v>
      </c>
      <c r="L69" s="5" t="s">
        <v>353</v>
      </c>
    </row>
    <row r="70" spans="1:12" ht="32" customHeight="1" x14ac:dyDescent="0.2">
      <c r="A70" s="4" t="s">
        <v>354</v>
      </c>
      <c r="B70" s="4" t="s">
        <v>22</v>
      </c>
      <c r="C70" s="4" t="s">
        <v>355</v>
      </c>
      <c r="D70" s="4" t="s">
        <v>356</v>
      </c>
      <c r="E70" s="4" t="s">
        <v>357</v>
      </c>
      <c r="F70" s="4" t="s">
        <v>337</v>
      </c>
      <c r="G70" s="4" t="s">
        <v>25</v>
      </c>
      <c r="H70" s="4" t="s">
        <v>101</v>
      </c>
      <c r="I70" s="4" t="s">
        <v>151</v>
      </c>
      <c r="J70" s="4" t="s">
        <v>51</v>
      </c>
      <c r="K70" s="4" t="s">
        <v>157</v>
      </c>
      <c r="L70" s="4" t="s">
        <v>358</v>
      </c>
    </row>
    <row r="71" spans="1:12" ht="48" customHeight="1" x14ac:dyDescent="0.2">
      <c r="A71" s="5" t="s">
        <v>359</v>
      </c>
      <c r="B71" s="5" t="s">
        <v>22</v>
      </c>
      <c r="C71" s="5" t="s">
        <v>355</v>
      </c>
      <c r="D71" s="5" t="s">
        <v>360</v>
      </c>
      <c r="E71" s="5" t="s">
        <v>361</v>
      </c>
      <c r="F71" s="5" t="s">
        <v>337</v>
      </c>
      <c r="G71" s="5" t="s">
        <v>101</v>
      </c>
      <c r="H71" s="5" t="s">
        <v>150</v>
      </c>
      <c r="I71" s="5" t="s">
        <v>151</v>
      </c>
      <c r="J71" s="5" t="s">
        <v>51</v>
      </c>
      <c r="K71" s="5" t="s">
        <v>157</v>
      </c>
      <c r="L71" s="5" t="s">
        <v>362</v>
      </c>
    </row>
    <row r="72" spans="1:12" ht="32" customHeight="1" x14ac:dyDescent="0.2">
      <c r="A72" s="4" t="s">
        <v>363</v>
      </c>
      <c r="B72" s="4" t="s">
        <v>22</v>
      </c>
      <c r="C72" s="4" t="s">
        <v>364</v>
      </c>
      <c r="D72" s="4" t="s">
        <v>365</v>
      </c>
      <c r="E72" s="4" t="s">
        <v>366</v>
      </c>
      <c r="F72" s="4" t="s">
        <v>337</v>
      </c>
      <c r="G72" s="4" t="s">
        <v>27</v>
      </c>
      <c r="H72" s="4" t="s">
        <v>198</v>
      </c>
      <c r="I72" s="4" t="s">
        <v>151</v>
      </c>
      <c r="J72" s="4" t="s">
        <v>51</v>
      </c>
      <c r="K72" s="4" t="s">
        <v>157</v>
      </c>
      <c r="L72" s="4" t="s">
        <v>367</v>
      </c>
    </row>
    <row r="73" spans="1:12" ht="32" customHeight="1" x14ac:dyDescent="0.2">
      <c r="A73" s="5" t="s">
        <v>368</v>
      </c>
      <c r="B73" s="5" t="s">
        <v>22</v>
      </c>
      <c r="C73" s="5" t="s">
        <v>201</v>
      </c>
      <c r="D73" s="5" t="s">
        <v>369</v>
      </c>
      <c r="E73" s="5" t="s">
        <v>370</v>
      </c>
      <c r="F73" s="5" t="s">
        <v>337</v>
      </c>
      <c r="G73" s="5" t="s">
        <v>23</v>
      </c>
      <c r="H73" s="5" t="s">
        <v>27</v>
      </c>
      <c r="I73" s="5" t="s">
        <v>129</v>
      </c>
      <c r="J73" s="5" t="s">
        <v>51</v>
      </c>
      <c r="K73" s="5" t="s">
        <v>131</v>
      </c>
      <c r="L73" s="5" t="s">
        <v>371</v>
      </c>
    </row>
    <row r="74" spans="1:12" ht="32" customHeight="1" x14ac:dyDescent="0.2">
      <c r="A74" s="4" t="s">
        <v>372</v>
      </c>
      <c r="B74" s="4" t="s">
        <v>22</v>
      </c>
      <c r="C74" s="4" t="s">
        <v>373</v>
      </c>
      <c r="D74" s="4" t="s">
        <v>374</v>
      </c>
      <c r="E74" s="4" t="s">
        <v>375</v>
      </c>
      <c r="F74" s="4" t="s">
        <v>337</v>
      </c>
      <c r="G74" s="4" t="s">
        <v>23</v>
      </c>
      <c r="H74" s="4" t="s">
        <v>25</v>
      </c>
      <c r="I74" s="4" t="s">
        <v>151</v>
      </c>
      <c r="J74" s="4" t="s">
        <v>51</v>
      </c>
      <c r="K74" s="4" t="s">
        <v>157</v>
      </c>
      <c r="L74" s="4" t="s">
        <v>376</v>
      </c>
    </row>
    <row r="75" spans="1:12" ht="32" customHeight="1" x14ac:dyDescent="0.2">
      <c r="A75" s="5" t="s">
        <v>377</v>
      </c>
      <c r="B75" s="5" t="s">
        <v>23</v>
      </c>
      <c r="C75" s="5" t="s">
        <v>378</v>
      </c>
      <c r="D75" s="5" t="s">
        <v>379</v>
      </c>
      <c r="E75" s="5" t="s">
        <v>380</v>
      </c>
      <c r="F75" s="5" t="s">
        <v>337</v>
      </c>
      <c r="G75" s="5" t="s">
        <v>25</v>
      </c>
      <c r="H75" s="5" t="s">
        <v>101</v>
      </c>
      <c r="I75" s="5" t="s">
        <v>347</v>
      </c>
      <c r="J75" s="5" t="s">
        <v>51</v>
      </c>
      <c r="K75" s="5" t="s">
        <v>295</v>
      </c>
      <c r="L75" s="5" t="s">
        <v>381</v>
      </c>
    </row>
    <row r="76" spans="1:12" ht="48" customHeight="1" x14ac:dyDescent="0.2">
      <c r="A76" s="4" t="s">
        <v>382</v>
      </c>
      <c r="B76" s="4" t="s">
        <v>23</v>
      </c>
      <c r="C76" s="4" t="s">
        <v>378</v>
      </c>
      <c r="D76" s="4" t="s">
        <v>383</v>
      </c>
      <c r="E76" s="4" t="s">
        <v>384</v>
      </c>
      <c r="F76" s="4" t="s">
        <v>337</v>
      </c>
      <c r="G76" s="4" t="s">
        <v>27</v>
      </c>
      <c r="H76" s="4" t="s">
        <v>254</v>
      </c>
      <c r="I76" s="4" t="s">
        <v>347</v>
      </c>
      <c r="J76" s="4" t="s">
        <v>51</v>
      </c>
      <c r="K76" s="4" t="s">
        <v>295</v>
      </c>
      <c r="L76" s="4" t="s">
        <v>385</v>
      </c>
    </row>
    <row r="77" spans="1:12" ht="32" customHeight="1" x14ac:dyDescent="0.2">
      <c r="A77" s="5" t="s">
        <v>386</v>
      </c>
      <c r="B77" s="5">
        <v>1</v>
      </c>
      <c r="C77" s="5" t="s">
        <v>1308</v>
      </c>
      <c r="D77" s="5" t="s">
        <v>1309</v>
      </c>
      <c r="E77" s="5" t="s">
        <v>1310</v>
      </c>
      <c r="F77" s="5" t="s">
        <v>337</v>
      </c>
      <c r="G77" s="5">
        <v>5</v>
      </c>
      <c r="H77" s="5">
        <v>9</v>
      </c>
      <c r="I77" s="5" t="s">
        <v>347</v>
      </c>
      <c r="J77" s="5" t="s">
        <v>51</v>
      </c>
      <c r="K77" s="5" t="s">
        <v>157</v>
      </c>
      <c r="L77" s="5" t="s">
        <v>1311</v>
      </c>
    </row>
    <row r="78" spans="1:12" ht="48" customHeight="1" x14ac:dyDescent="0.2">
      <c r="A78" s="4" t="s">
        <v>389</v>
      </c>
      <c r="B78" s="4" t="s">
        <v>23</v>
      </c>
      <c r="C78" s="4" t="s">
        <v>390</v>
      </c>
      <c r="D78" s="4" t="s">
        <v>391</v>
      </c>
      <c r="E78" s="4" t="s">
        <v>392</v>
      </c>
      <c r="F78" s="4" t="s">
        <v>337</v>
      </c>
      <c r="G78" s="4" t="s">
        <v>25</v>
      </c>
      <c r="H78" s="4" t="s">
        <v>101</v>
      </c>
      <c r="I78" s="4" t="s">
        <v>151</v>
      </c>
      <c r="J78" s="4" t="s">
        <v>51</v>
      </c>
      <c r="K78" s="4" t="s">
        <v>393</v>
      </c>
      <c r="L78" s="4" t="s">
        <v>394</v>
      </c>
    </row>
    <row r="79" spans="1:12" ht="32" customHeight="1" x14ac:dyDescent="0.2">
      <c r="A79" s="5" t="s">
        <v>395</v>
      </c>
      <c r="B79" s="5" t="s">
        <v>23</v>
      </c>
      <c r="C79" s="5" t="s">
        <v>396</v>
      </c>
      <c r="D79" s="5" t="s">
        <v>1312</v>
      </c>
      <c r="E79" s="5" t="s">
        <v>1313</v>
      </c>
      <c r="F79" s="5" t="s">
        <v>337</v>
      </c>
      <c r="G79" s="5">
        <v>4</v>
      </c>
      <c r="H79" s="5">
        <v>7</v>
      </c>
      <c r="I79" s="5" t="s">
        <v>151</v>
      </c>
      <c r="J79" s="5" t="s">
        <v>51</v>
      </c>
      <c r="K79" s="5" t="s">
        <v>393</v>
      </c>
      <c r="L79" s="5" t="s">
        <v>1314</v>
      </c>
    </row>
    <row r="81" spans="1:11" ht="20" customHeight="1" x14ac:dyDescent="0.2">
      <c r="A81" s="7" t="s">
        <v>397</v>
      </c>
    </row>
    <row r="82" spans="1:11" ht="32" customHeight="1" x14ac:dyDescent="0.2">
      <c r="A82" s="105" t="s">
        <v>398</v>
      </c>
      <c r="B82" s="103"/>
      <c r="C82" s="103"/>
      <c r="D82" s="103"/>
      <c r="E82" s="103"/>
      <c r="F82" s="103"/>
      <c r="G82" s="103"/>
      <c r="H82" s="103"/>
      <c r="I82" s="103"/>
      <c r="J82" s="103"/>
    </row>
    <row r="84" spans="1:11" ht="28" customHeight="1" x14ac:dyDescent="0.2">
      <c r="A84" s="3" t="s">
        <v>61</v>
      </c>
      <c r="B84" s="3" t="s">
        <v>115</v>
      </c>
      <c r="C84" s="3" t="s">
        <v>116</v>
      </c>
      <c r="D84" s="3" t="s">
        <v>117</v>
      </c>
      <c r="E84" s="3" t="s">
        <v>118</v>
      </c>
      <c r="F84" s="3" t="s">
        <v>119</v>
      </c>
      <c r="G84" s="3" t="s">
        <v>120</v>
      </c>
      <c r="H84" s="3" t="s">
        <v>121</v>
      </c>
      <c r="I84" s="3" t="s">
        <v>2</v>
      </c>
      <c r="J84" s="3" t="s">
        <v>122</v>
      </c>
      <c r="K84" s="3" t="s">
        <v>123</v>
      </c>
    </row>
    <row r="85" spans="1:11" ht="64" customHeight="1" x14ac:dyDescent="0.2">
      <c r="A85" s="4" t="s">
        <v>399</v>
      </c>
      <c r="B85" s="4" t="s">
        <v>400</v>
      </c>
      <c r="C85" s="4" t="s">
        <v>401</v>
      </c>
      <c r="D85" s="4" t="s">
        <v>402</v>
      </c>
      <c r="E85" s="4" t="s">
        <v>128</v>
      </c>
      <c r="F85" s="4" t="s">
        <v>25</v>
      </c>
      <c r="G85" s="4" t="s">
        <v>101</v>
      </c>
      <c r="H85" s="4" t="s">
        <v>129</v>
      </c>
      <c r="I85" s="4" t="s">
        <v>239</v>
      </c>
      <c r="J85" s="4" t="s">
        <v>131</v>
      </c>
      <c r="K85" s="4" t="s">
        <v>403</v>
      </c>
    </row>
    <row r="86" spans="1:11" ht="32" customHeight="1" x14ac:dyDescent="0.2">
      <c r="A86" s="5" t="s">
        <v>404</v>
      </c>
      <c r="B86" s="5" t="s">
        <v>400</v>
      </c>
      <c r="C86" s="5" t="s">
        <v>405</v>
      </c>
      <c r="D86" s="5" t="s">
        <v>406</v>
      </c>
      <c r="E86" s="5" t="s">
        <v>128</v>
      </c>
      <c r="F86" s="5" t="s">
        <v>25</v>
      </c>
      <c r="G86" s="5" t="s">
        <v>101</v>
      </c>
      <c r="H86" s="5" t="s">
        <v>129</v>
      </c>
      <c r="I86" s="5" t="s">
        <v>239</v>
      </c>
      <c r="J86" s="5" t="s">
        <v>131</v>
      </c>
      <c r="K86" s="5" t="s">
        <v>407</v>
      </c>
    </row>
    <row r="87" spans="1:11" ht="48" customHeight="1" x14ac:dyDescent="0.2">
      <c r="A87" s="4" t="s">
        <v>408</v>
      </c>
      <c r="B87" s="4" t="s">
        <v>400</v>
      </c>
      <c r="C87" s="4" t="s">
        <v>409</v>
      </c>
      <c r="D87" s="4" t="s">
        <v>410</v>
      </c>
      <c r="E87" s="4" t="s">
        <v>238</v>
      </c>
      <c r="F87" s="4" t="s">
        <v>27</v>
      </c>
      <c r="G87" s="4" t="s">
        <v>198</v>
      </c>
      <c r="H87" s="4" t="s">
        <v>129</v>
      </c>
      <c r="I87" s="4" t="s">
        <v>239</v>
      </c>
      <c r="J87" s="4" t="s">
        <v>131</v>
      </c>
      <c r="K87" s="4" t="s">
        <v>411</v>
      </c>
    </row>
    <row r="88" spans="1:11" ht="48" customHeight="1" x14ac:dyDescent="0.2">
      <c r="A88" s="5" t="s">
        <v>412</v>
      </c>
      <c r="B88" s="5" t="s">
        <v>400</v>
      </c>
      <c r="C88" s="5" t="s">
        <v>413</v>
      </c>
      <c r="D88" s="5" t="s">
        <v>414</v>
      </c>
      <c r="E88" s="5" t="s">
        <v>415</v>
      </c>
      <c r="F88" s="5" t="s">
        <v>25</v>
      </c>
      <c r="G88" s="5" t="s">
        <v>101</v>
      </c>
      <c r="H88" s="5" t="s">
        <v>129</v>
      </c>
      <c r="I88" s="5" t="s">
        <v>239</v>
      </c>
      <c r="J88" s="5" t="s">
        <v>131</v>
      </c>
      <c r="K88" s="5" t="s">
        <v>416</v>
      </c>
    </row>
    <row r="89" spans="1:11" ht="32" customHeight="1" x14ac:dyDescent="0.2">
      <c r="A89" s="4" t="s">
        <v>417</v>
      </c>
      <c r="B89" s="4" t="s">
        <v>400</v>
      </c>
      <c r="C89" s="4" t="s">
        <v>418</v>
      </c>
      <c r="D89" s="4" t="s">
        <v>419</v>
      </c>
      <c r="E89" s="4" t="s">
        <v>415</v>
      </c>
      <c r="F89" s="4" t="s">
        <v>23</v>
      </c>
      <c r="G89" s="4" t="s">
        <v>27</v>
      </c>
      <c r="H89" s="4" t="s">
        <v>129</v>
      </c>
      <c r="I89" s="4" t="s">
        <v>239</v>
      </c>
      <c r="J89" s="4" t="s">
        <v>131</v>
      </c>
      <c r="K89" s="4" t="s">
        <v>420</v>
      </c>
    </row>
    <row r="90" spans="1:11" ht="32" customHeight="1" x14ac:dyDescent="0.2">
      <c r="A90" s="5" t="s">
        <v>421</v>
      </c>
      <c r="B90" s="5" t="s">
        <v>422</v>
      </c>
      <c r="C90" s="5" t="s">
        <v>423</v>
      </c>
      <c r="D90" s="5" t="s">
        <v>424</v>
      </c>
      <c r="E90" s="5" t="s">
        <v>415</v>
      </c>
      <c r="F90" s="5" t="s">
        <v>27</v>
      </c>
      <c r="G90" s="5" t="s">
        <v>198</v>
      </c>
      <c r="H90" s="5" t="s">
        <v>129</v>
      </c>
      <c r="I90" s="5" t="s">
        <v>239</v>
      </c>
      <c r="J90" s="5" t="s">
        <v>131</v>
      </c>
      <c r="K90" s="5" t="s">
        <v>425</v>
      </c>
    </row>
    <row r="91" spans="1:11" ht="64" customHeight="1" x14ac:dyDescent="0.2">
      <c r="A91" s="4" t="s">
        <v>426</v>
      </c>
      <c r="B91" s="4" t="s">
        <v>400</v>
      </c>
      <c r="C91" s="4" t="s">
        <v>427</v>
      </c>
      <c r="D91" s="4" t="s">
        <v>428</v>
      </c>
      <c r="E91" s="4" t="s">
        <v>238</v>
      </c>
      <c r="F91" s="4" t="s">
        <v>198</v>
      </c>
      <c r="G91" s="4" t="s">
        <v>429</v>
      </c>
      <c r="H91" s="4" t="s">
        <v>129</v>
      </c>
      <c r="I91" s="4" t="s">
        <v>239</v>
      </c>
      <c r="J91" s="4" t="s">
        <v>152</v>
      </c>
      <c r="K91" s="4" t="s">
        <v>430</v>
      </c>
    </row>
    <row r="92" spans="1:11" ht="48" customHeight="1" x14ac:dyDescent="0.2">
      <c r="A92" s="5" t="s">
        <v>431</v>
      </c>
      <c r="B92" s="5" t="s">
        <v>432</v>
      </c>
      <c r="C92" s="5" t="s">
        <v>433</v>
      </c>
      <c r="D92" s="5" t="s">
        <v>434</v>
      </c>
      <c r="E92" s="5" t="s">
        <v>415</v>
      </c>
      <c r="F92" s="5" t="s">
        <v>27</v>
      </c>
      <c r="G92" s="5" t="s">
        <v>198</v>
      </c>
      <c r="H92" s="5" t="s">
        <v>129</v>
      </c>
      <c r="I92" s="5" t="s">
        <v>239</v>
      </c>
      <c r="J92" s="5" t="s">
        <v>131</v>
      </c>
      <c r="K92" s="5" t="s">
        <v>435</v>
      </c>
    </row>
    <row r="93" spans="1:11" ht="48" customHeight="1" x14ac:dyDescent="0.2">
      <c r="A93" s="4" t="s">
        <v>436</v>
      </c>
      <c r="B93" s="4" t="s">
        <v>437</v>
      </c>
      <c r="C93" s="4" t="s">
        <v>438</v>
      </c>
      <c r="D93" s="4" t="s">
        <v>439</v>
      </c>
      <c r="E93" s="4" t="s">
        <v>415</v>
      </c>
      <c r="F93" s="4" t="s">
        <v>27</v>
      </c>
      <c r="G93" s="4" t="s">
        <v>198</v>
      </c>
      <c r="H93" s="4" t="s">
        <v>151</v>
      </c>
      <c r="I93" s="4" t="s">
        <v>239</v>
      </c>
      <c r="J93" s="4" t="s">
        <v>157</v>
      </c>
      <c r="K93" s="4" t="s">
        <v>440</v>
      </c>
    </row>
    <row r="94" spans="1:11" ht="48" customHeight="1" x14ac:dyDescent="0.2">
      <c r="A94" s="5" t="s">
        <v>441</v>
      </c>
      <c r="B94" s="5" t="s">
        <v>437</v>
      </c>
      <c r="C94" s="5" t="s">
        <v>442</v>
      </c>
      <c r="D94" s="5" t="s">
        <v>443</v>
      </c>
      <c r="E94" s="5" t="s">
        <v>444</v>
      </c>
      <c r="F94" s="5" t="s">
        <v>25</v>
      </c>
      <c r="G94" s="5" t="s">
        <v>101</v>
      </c>
      <c r="H94" s="5" t="s">
        <v>151</v>
      </c>
      <c r="I94" s="5" t="s">
        <v>239</v>
      </c>
      <c r="J94" s="5" t="s">
        <v>157</v>
      </c>
      <c r="K94" s="5" t="s">
        <v>445</v>
      </c>
    </row>
    <row r="95" spans="1:11" ht="48" customHeight="1" x14ac:dyDescent="0.2">
      <c r="A95" s="4" t="s">
        <v>446</v>
      </c>
      <c r="B95" s="4" t="s">
        <v>447</v>
      </c>
      <c r="C95" s="4" t="s">
        <v>448</v>
      </c>
      <c r="D95" s="4" t="s">
        <v>449</v>
      </c>
      <c r="E95" s="4" t="s">
        <v>128</v>
      </c>
      <c r="F95" s="4" t="s">
        <v>27</v>
      </c>
      <c r="G95" s="4" t="s">
        <v>254</v>
      </c>
      <c r="H95" s="4" t="s">
        <v>347</v>
      </c>
      <c r="I95" s="4" t="s">
        <v>130</v>
      </c>
      <c r="J95" s="4" t="s">
        <v>157</v>
      </c>
      <c r="K95" s="4" t="s">
        <v>450</v>
      </c>
    </row>
    <row r="96" spans="1:11" ht="64" customHeight="1" x14ac:dyDescent="0.2">
      <c r="A96" s="5" t="s">
        <v>451</v>
      </c>
      <c r="B96" s="5" t="s">
        <v>447</v>
      </c>
      <c r="C96" s="5" t="s">
        <v>452</v>
      </c>
      <c r="D96" s="5" t="s">
        <v>453</v>
      </c>
      <c r="E96" s="5" t="s">
        <v>454</v>
      </c>
      <c r="F96" s="5" t="s">
        <v>101</v>
      </c>
      <c r="G96" s="5" t="s">
        <v>387</v>
      </c>
      <c r="H96" s="5" t="s">
        <v>151</v>
      </c>
      <c r="I96" s="5" t="s">
        <v>51</v>
      </c>
      <c r="J96" s="5" t="s">
        <v>157</v>
      </c>
      <c r="K96" s="5" t="s">
        <v>455</v>
      </c>
    </row>
    <row r="97" spans="1:11" ht="48" customHeight="1" x14ac:dyDescent="0.2">
      <c r="A97" s="4" t="s">
        <v>456</v>
      </c>
      <c r="B97" s="4" t="s">
        <v>350</v>
      </c>
      <c r="C97" s="4" t="s">
        <v>457</v>
      </c>
      <c r="D97" s="4" t="s">
        <v>458</v>
      </c>
      <c r="E97" s="4" t="s">
        <v>128</v>
      </c>
      <c r="F97" s="4" t="s">
        <v>25</v>
      </c>
      <c r="G97" s="4" t="s">
        <v>101</v>
      </c>
      <c r="H97" s="4" t="s">
        <v>129</v>
      </c>
      <c r="I97" s="4" t="s">
        <v>239</v>
      </c>
      <c r="J97" s="4" t="s">
        <v>157</v>
      </c>
      <c r="K97" s="4" t="s">
        <v>459</v>
      </c>
    </row>
    <row r="98" spans="1:11" ht="48" customHeight="1" x14ac:dyDescent="0.2">
      <c r="A98" s="5" t="s">
        <v>460</v>
      </c>
      <c r="B98" s="5" t="s">
        <v>350</v>
      </c>
      <c r="C98" s="5" t="s">
        <v>461</v>
      </c>
      <c r="D98" s="5" t="s">
        <v>462</v>
      </c>
      <c r="E98" s="5" t="s">
        <v>238</v>
      </c>
      <c r="F98" s="5" t="s">
        <v>101</v>
      </c>
      <c r="G98" s="5" t="s">
        <v>150</v>
      </c>
      <c r="H98" s="5" t="s">
        <v>151</v>
      </c>
      <c r="I98" s="5" t="s">
        <v>239</v>
      </c>
      <c r="J98" s="5" t="s">
        <v>157</v>
      </c>
      <c r="K98" s="5" t="s">
        <v>463</v>
      </c>
    </row>
    <row r="99" spans="1:11" ht="48" customHeight="1" x14ac:dyDescent="0.2">
      <c r="A99" s="4" t="s">
        <v>464</v>
      </c>
      <c r="B99" s="4" t="s">
        <v>350</v>
      </c>
      <c r="C99" s="4" t="s">
        <v>465</v>
      </c>
      <c r="D99" s="4" t="s">
        <v>466</v>
      </c>
      <c r="E99" s="4" t="s">
        <v>454</v>
      </c>
      <c r="F99" s="4" t="s">
        <v>23</v>
      </c>
      <c r="G99" s="4" t="s">
        <v>27</v>
      </c>
      <c r="H99" s="4" t="s">
        <v>151</v>
      </c>
      <c r="I99" s="4" t="s">
        <v>51</v>
      </c>
      <c r="J99" s="4" t="s">
        <v>157</v>
      </c>
      <c r="K99" s="4" t="s">
        <v>467</v>
      </c>
    </row>
    <row r="100" spans="1:11" ht="48" customHeight="1" x14ac:dyDescent="0.2">
      <c r="A100" s="5" t="s">
        <v>468</v>
      </c>
      <c r="B100" s="5" t="s">
        <v>447</v>
      </c>
      <c r="C100" s="5" t="s">
        <v>469</v>
      </c>
      <c r="D100" s="5" t="s">
        <v>470</v>
      </c>
      <c r="E100" s="5" t="s">
        <v>128</v>
      </c>
      <c r="F100" s="5" t="s">
        <v>23</v>
      </c>
      <c r="G100" s="5" t="s">
        <v>27</v>
      </c>
      <c r="H100" s="5" t="s">
        <v>129</v>
      </c>
      <c r="I100" s="5" t="s">
        <v>130</v>
      </c>
      <c r="J100" s="5" t="s">
        <v>157</v>
      </c>
      <c r="K100" s="5" t="s">
        <v>471</v>
      </c>
    </row>
    <row r="101" spans="1:11" ht="48" customHeight="1" x14ac:dyDescent="0.2">
      <c r="A101" s="4" t="s">
        <v>472</v>
      </c>
      <c r="B101" s="4" t="s">
        <v>447</v>
      </c>
      <c r="C101" s="4" t="s">
        <v>473</v>
      </c>
      <c r="D101" s="4" t="s">
        <v>474</v>
      </c>
      <c r="E101" s="4" t="s">
        <v>454</v>
      </c>
      <c r="F101" s="4" t="s">
        <v>25</v>
      </c>
      <c r="G101" s="4" t="s">
        <v>101</v>
      </c>
      <c r="H101" s="4" t="s">
        <v>151</v>
      </c>
      <c r="I101" s="4" t="s">
        <v>51</v>
      </c>
      <c r="J101" s="4" t="s">
        <v>295</v>
      </c>
      <c r="K101" s="4" t="s">
        <v>475</v>
      </c>
    </row>
    <row r="102" spans="1:11" ht="32" customHeight="1" x14ac:dyDescent="0.2">
      <c r="A102" s="5" t="s">
        <v>476</v>
      </c>
      <c r="B102" s="5" t="s">
        <v>447</v>
      </c>
      <c r="C102" s="5" t="s">
        <v>477</v>
      </c>
      <c r="D102" s="5" t="s">
        <v>478</v>
      </c>
      <c r="E102" s="5" t="s">
        <v>128</v>
      </c>
      <c r="F102" s="5" t="s">
        <v>23</v>
      </c>
      <c r="G102" s="5" t="s">
        <v>27</v>
      </c>
      <c r="H102" s="5" t="s">
        <v>151</v>
      </c>
      <c r="I102" s="5" t="s">
        <v>130</v>
      </c>
      <c r="J102" s="5" t="s">
        <v>295</v>
      </c>
      <c r="K102" s="5" t="s">
        <v>479</v>
      </c>
    </row>
    <row r="103" spans="1:11" ht="64" customHeight="1" x14ac:dyDescent="0.2">
      <c r="A103" s="4" t="s">
        <v>480</v>
      </c>
      <c r="B103" s="4" t="s">
        <v>481</v>
      </c>
      <c r="C103" s="4" t="s">
        <v>482</v>
      </c>
      <c r="D103" s="4" t="s">
        <v>483</v>
      </c>
      <c r="E103" s="4" t="s">
        <v>128</v>
      </c>
      <c r="F103" s="4" t="s">
        <v>150</v>
      </c>
      <c r="G103" s="4" t="s">
        <v>484</v>
      </c>
      <c r="H103" s="4" t="s">
        <v>347</v>
      </c>
      <c r="I103" s="4" t="s">
        <v>130</v>
      </c>
      <c r="J103" s="83" t="s">
        <v>152</v>
      </c>
      <c r="K103" s="4" t="s">
        <v>485</v>
      </c>
    </row>
    <row r="104" spans="1:11" ht="48" customHeight="1" x14ac:dyDescent="0.2">
      <c r="A104" s="5" t="s">
        <v>486</v>
      </c>
      <c r="B104" s="5" t="s">
        <v>487</v>
      </c>
      <c r="C104" s="5" t="s">
        <v>488</v>
      </c>
      <c r="D104" s="5" t="s">
        <v>489</v>
      </c>
      <c r="E104" s="5" t="s">
        <v>415</v>
      </c>
      <c r="F104" s="5" t="s">
        <v>198</v>
      </c>
      <c r="G104" s="5" t="s">
        <v>429</v>
      </c>
      <c r="H104" s="5" t="s">
        <v>151</v>
      </c>
      <c r="I104" s="5" t="s">
        <v>239</v>
      </c>
      <c r="J104" s="5" t="s">
        <v>295</v>
      </c>
      <c r="K104" s="5" t="s">
        <v>490</v>
      </c>
    </row>
    <row r="105" spans="1:11" ht="48" customHeight="1" x14ac:dyDescent="0.2">
      <c r="A105" s="4" t="s">
        <v>491</v>
      </c>
      <c r="B105" s="4" t="s">
        <v>487</v>
      </c>
      <c r="C105" s="4" t="s">
        <v>492</v>
      </c>
      <c r="D105" s="4" t="s">
        <v>493</v>
      </c>
      <c r="E105" s="4" t="s">
        <v>415</v>
      </c>
      <c r="F105" s="4" t="s">
        <v>101</v>
      </c>
      <c r="G105" s="4" t="s">
        <v>387</v>
      </c>
      <c r="H105" s="4" t="s">
        <v>151</v>
      </c>
      <c r="I105" s="4" t="s">
        <v>239</v>
      </c>
      <c r="J105" s="4" t="s">
        <v>295</v>
      </c>
      <c r="K105" s="4" t="s">
        <v>494</v>
      </c>
    </row>
    <row r="106" spans="1:11" ht="48" customHeight="1" x14ac:dyDescent="0.2">
      <c r="A106" s="5" t="s">
        <v>495</v>
      </c>
      <c r="B106" s="5" t="s">
        <v>496</v>
      </c>
      <c r="C106" s="5" t="s">
        <v>497</v>
      </c>
      <c r="D106" s="5" t="s">
        <v>498</v>
      </c>
      <c r="E106" s="5" t="s">
        <v>128</v>
      </c>
      <c r="F106" s="5" t="s">
        <v>25</v>
      </c>
      <c r="G106" s="5" t="s">
        <v>101</v>
      </c>
      <c r="H106" s="5" t="s">
        <v>129</v>
      </c>
      <c r="I106" s="5" t="s">
        <v>130</v>
      </c>
      <c r="J106" s="5" t="s">
        <v>393</v>
      </c>
      <c r="K106" s="5" t="s">
        <v>499</v>
      </c>
    </row>
    <row r="107" spans="1:11" ht="48" customHeight="1" x14ac:dyDescent="0.2">
      <c r="A107" s="4" t="s">
        <v>500</v>
      </c>
      <c r="B107" s="4" t="s">
        <v>501</v>
      </c>
      <c r="C107" s="4" t="s">
        <v>502</v>
      </c>
      <c r="D107" s="4" t="s">
        <v>503</v>
      </c>
      <c r="E107" s="4" t="s">
        <v>415</v>
      </c>
      <c r="F107" s="4" t="s">
        <v>198</v>
      </c>
      <c r="G107" s="4" t="s">
        <v>429</v>
      </c>
      <c r="H107" s="4" t="s">
        <v>151</v>
      </c>
      <c r="I107" s="4" t="s">
        <v>239</v>
      </c>
      <c r="J107" s="4" t="s">
        <v>157</v>
      </c>
      <c r="K107" s="4" t="s">
        <v>504</v>
      </c>
    </row>
    <row r="108" spans="1:11" ht="48" customHeight="1" x14ac:dyDescent="0.2">
      <c r="A108" s="5" t="s">
        <v>505</v>
      </c>
      <c r="B108" s="5" t="s">
        <v>501</v>
      </c>
      <c r="C108" s="5" t="s">
        <v>506</v>
      </c>
      <c r="D108" s="5" t="s">
        <v>507</v>
      </c>
      <c r="E108" s="5" t="s">
        <v>415</v>
      </c>
      <c r="F108" s="5" t="s">
        <v>27</v>
      </c>
      <c r="G108" s="5" t="s">
        <v>198</v>
      </c>
      <c r="H108" s="5" t="s">
        <v>151</v>
      </c>
      <c r="I108" s="5" t="s">
        <v>239</v>
      </c>
      <c r="J108" s="5" t="s">
        <v>295</v>
      </c>
      <c r="K108" s="5" t="s">
        <v>508</v>
      </c>
    </row>
    <row r="109" spans="1:11" ht="48" customHeight="1" x14ac:dyDescent="0.2">
      <c r="A109" s="4" t="s">
        <v>509</v>
      </c>
      <c r="B109" s="4" t="s">
        <v>510</v>
      </c>
      <c r="C109" s="4" t="s">
        <v>511</v>
      </c>
      <c r="D109" s="4" t="s">
        <v>512</v>
      </c>
      <c r="E109" s="4" t="s">
        <v>238</v>
      </c>
      <c r="F109" s="4" t="s">
        <v>27</v>
      </c>
      <c r="G109" s="4" t="s">
        <v>254</v>
      </c>
      <c r="H109" s="4" t="s">
        <v>151</v>
      </c>
      <c r="I109" s="4" t="s">
        <v>239</v>
      </c>
      <c r="J109" s="4" t="s">
        <v>393</v>
      </c>
      <c r="K109" s="4" t="s">
        <v>513</v>
      </c>
    </row>
    <row r="110" spans="1:11" ht="48" customHeight="1" x14ac:dyDescent="0.2">
      <c r="A110" s="5" t="s">
        <v>514</v>
      </c>
      <c r="B110" s="5" t="s">
        <v>510</v>
      </c>
      <c r="C110" s="5" t="s">
        <v>515</v>
      </c>
      <c r="D110" s="5" t="s">
        <v>516</v>
      </c>
      <c r="E110" s="5" t="s">
        <v>454</v>
      </c>
      <c r="F110" s="5" t="s">
        <v>101</v>
      </c>
      <c r="G110" s="5" t="s">
        <v>387</v>
      </c>
      <c r="H110" s="5" t="s">
        <v>347</v>
      </c>
      <c r="I110" s="5" t="s">
        <v>51</v>
      </c>
      <c r="J110" s="5" t="s">
        <v>393</v>
      </c>
      <c r="K110" s="5" t="s">
        <v>517</v>
      </c>
    </row>
    <row r="111" spans="1:11" ht="32" customHeight="1" x14ac:dyDescent="0.2">
      <c r="A111" s="4" t="s">
        <v>518</v>
      </c>
      <c r="B111" s="4" t="s">
        <v>510</v>
      </c>
      <c r="C111" s="4" t="s">
        <v>519</v>
      </c>
      <c r="D111" s="4" t="s">
        <v>520</v>
      </c>
      <c r="E111" s="4" t="s">
        <v>337</v>
      </c>
      <c r="F111" s="4" t="s">
        <v>25</v>
      </c>
      <c r="G111" s="4" t="s">
        <v>101</v>
      </c>
      <c r="H111" s="4" t="s">
        <v>151</v>
      </c>
      <c r="I111" s="4" t="s">
        <v>51</v>
      </c>
      <c r="J111" s="4" t="s">
        <v>393</v>
      </c>
      <c r="K111" s="4" t="s">
        <v>521</v>
      </c>
    </row>
    <row r="112" spans="1:11" ht="32" customHeight="1" x14ac:dyDescent="0.2">
      <c r="A112" s="5" t="s">
        <v>522</v>
      </c>
      <c r="B112" s="5" t="s">
        <v>523</v>
      </c>
      <c r="C112" s="5" t="s">
        <v>524</v>
      </c>
      <c r="D112" s="5" t="s">
        <v>525</v>
      </c>
      <c r="E112" s="5" t="s">
        <v>415</v>
      </c>
      <c r="F112" s="5" t="s">
        <v>25</v>
      </c>
      <c r="G112" s="5" t="s">
        <v>101</v>
      </c>
      <c r="H112" s="5" t="s">
        <v>129</v>
      </c>
      <c r="I112" s="5" t="s">
        <v>130</v>
      </c>
      <c r="J112" s="5" t="s">
        <v>157</v>
      </c>
      <c r="K112" s="5" t="s">
        <v>526</v>
      </c>
    </row>
    <row r="113" spans="1:11" ht="48" customHeight="1" x14ac:dyDescent="0.2">
      <c r="A113" s="4" t="s">
        <v>527</v>
      </c>
      <c r="B113" s="4" t="s">
        <v>528</v>
      </c>
      <c r="C113" s="4" t="s">
        <v>529</v>
      </c>
      <c r="D113" s="4" t="s">
        <v>530</v>
      </c>
      <c r="E113" s="4" t="s">
        <v>415</v>
      </c>
      <c r="F113" s="4" t="s">
        <v>23</v>
      </c>
      <c r="G113" s="4" t="s">
        <v>27</v>
      </c>
      <c r="H113" s="4" t="s">
        <v>129</v>
      </c>
      <c r="I113" s="4" t="s">
        <v>130</v>
      </c>
      <c r="J113" s="4" t="s">
        <v>393</v>
      </c>
      <c r="K113" s="4" t="s">
        <v>531</v>
      </c>
    </row>
    <row r="114" spans="1:11" ht="48" customHeight="1" x14ac:dyDescent="0.2">
      <c r="A114" s="5" t="s">
        <v>532</v>
      </c>
      <c r="B114" s="5" t="s">
        <v>533</v>
      </c>
      <c r="C114" s="5" t="s">
        <v>534</v>
      </c>
      <c r="D114" s="5" t="s">
        <v>535</v>
      </c>
      <c r="E114" s="5" t="s">
        <v>536</v>
      </c>
      <c r="F114" s="5" t="s">
        <v>23</v>
      </c>
      <c r="G114" s="5" t="s">
        <v>25</v>
      </c>
      <c r="H114" s="5" t="s">
        <v>129</v>
      </c>
      <c r="I114" s="5" t="s">
        <v>39</v>
      </c>
      <c r="J114" s="5" t="s">
        <v>393</v>
      </c>
      <c r="K114" s="5" t="s">
        <v>537</v>
      </c>
    </row>
    <row r="116" spans="1:11" ht="20" customHeight="1" x14ac:dyDescent="0.2">
      <c r="A116" s="7" t="s">
        <v>538</v>
      </c>
    </row>
    <row r="117" spans="1:11" ht="32" customHeight="1" x14ac:dyDescent="0.2">
      <c r="A117" s="105" t="s">
        <v>539</v>
      </c>
      <c r="B117" s="103"/>
      <c r="C117" s="103"/>
      <c r="D117" s="103"/>
      <c r="E117" s="103"/>
      <c r="F117" s="103"/>
      <c r="G117" s="103"/>
      <c r="H117" s="103"/>
      <c r="I117" s="103"/>
      <c r="J117" s="103"/>
    </row>
    <row r="119" spans="1:11" ht="28" customHeight="1" x14ac:dyDescent="0.2">
      <c r="A119" s="3" t="s">
        <v>61</v>
      </c>
      <c r="B119" s="3" t="s">
        <v>540</v>
      </c>
      <c r="C119" s="3" t="s">
        <v>116</v>
      </c>
      <c r="D119" s="3" t="s">
        <v>117</v>
      </c>
      <c r="E119" s="3" t="s">
        <v>118</v>
      </c>
      <c r="F119" s="3" t="s">
        <v>119</v>
      </c>
      <c r="G119" s="3" t="s">
        <v>120</v>
      </c>
      <c r="H119" s="3" t="s">
        <v>121</v>
      </c>
      <c r="I119" s="3" t="s">
        <v>2</v>
      </c>
      <c r="J119" s="3" t="s">
        <v>122</v>
      </c>
      <c r="K119" s="3" t="s">
        <v>123</v>
      </c>
    </row>
    <row r="120" spans="1:11" ht="32" customHeight="1" x14ac:dyDescent="0.2">
      <c r="A120" s="4" t="s">
        <v>541</v>
      </c>
      <c r="B120" s="4" t="s">
        <v>36</v>
      </c>
      <c r="C120" s="4" t="s">
        <v>542</v>
      </c>
      <c r="D120" s="4" t="s">
        <v>543</v>
      </c>
      <c r="E120" s="4" t="s">
        <v>536</v>
      </c>
      <c r="F120" s="4" t="s">
        <v>25</v>
      </c>
      <c r="G120" s="4" t="s">
        <v>101</v>
      </c>
      <c r="H120" s="4" t="s">
        <v>129</v>
      </c>
      <c r="I120" s="4" t="s">
        <v>36</v>
      </c>
      <c r="J120" s="4" t="s">
        <v>131</v>
      </c>
      <c r="K120" s="4" t="s">
        <v>544</v>
      </c>
    </row>
    <row r="121" spans="1:11" ht="32" customHeight="1" x14ac:dyDescent="0.2">
      <c r="A121" s="5" t="s">
        <v>545</v>
      </c>
      <c r="B121" s="5" t="s">
        <v>36</v>
      </c>
      <c r="C121" s="5" t="s">
        <v>546</v>
      </c>
      <c r="D121" s="5" t="s">
        <v>547</v>
      </c>
      <c r="E121" s="5" t="s">
        <v>536</v>
      </c>
      <c r="F121" s="5" t="s">
        <v>23</v>
      </c>
      <c r="G121" s="5" t="s">
        <v>548</v>
      </c>
      <c r="H121" s="5" t="s">
        <v>129</v>
      </c>
      <c r="I121" s="5" t="s">
        <v>36</v>
      </c>
      <c r="J121" s="5" t="s">
        <v>549</v>
      </c>
      <c r="K121" s="5" t="s">
        <v>550</v>
      </c>
    </row>
    <row r="122" spans="1:11" ht="32" customHeight="1" x14ac:dyDescent="0.2">
      <c r="A122" s="4" t="s">
        <v>551</v>
      </c>
      <c r="B122" s="4" t="s">
        <v>36</v>
      </c>
      <c r="C122" s="4" t="s">
        <v>552</v>
      </c>
      <c r="D122" s="4" t="s">
        <v>553</v>
      </c>
      <c r="E122" s="4" t="s">
        <v>536</v>
      </c>
      <c r="F122" s="4" t="s">
        <v>554</v>
      </c>
      <c r="G122" s="4" t="s">
        <v>555</v>
      </c>
      <c r="H122" s="4" t="s">
        <v>129</v>
      </c>
      <c r="I122" s="4" t="s">
        <v>36</v>
      </c>
      <c r="J122" s="4" t="s">
        <v>549</v>
      </c>
      <c r="K122" s="4" t="s">
        <v>556</v>
      </c>
    </row>
    <row r="123" spans="1:11" ht="32" customHeight="1" x14ac:dyDescent="0.2">
      <c r="A123" s="5" t="s">
        <v>557</v>
      </c>
      <c r="B123" s="5" t="s">
        <v>36</v>
      </c>
      <c r="C123" s="5" t="s">
        <v>558</v>
      </c>
      <c r="D123" s="5" t="s">
        <v>559</v>
      </c>
      <c r="E123" s="5" t="s">
        <v>536</v>
      </c>
      <c r="F123" s="5" t="s">
        <v>22</v>
      </c>
      <c r="G123" s="5" t="s">
        <v>560</v>
      </c>
      <c r="H123" s="5" t="s">
        <v>129</v>
      </c>
      <c r="I123" s="5" t="s">
        <v>36</v>
      </c>
      <c r="J123" s="5" t="s">
        <v>561</v>
      </c>
      <c r="K123" s="5" t="s">
        <v>562</v>
      </c>
    </row>
    <row r="124" spans="1:11" ht="32" customHeight="1" x14ac:dyDescent="0.2">
      <c r="A124" s="4" t="s">
        <v>563</v>
      </c>
      <c r="B124" s="4" t="s">
        <v>36</v>
      </c>
      <c r="C124" s="4" t="s">
        <v>564</v>
      </c>
      <c r="D124" s="4" t="s">
        <v>565</v>
      </c>
      <c r="E124" s="4" t="s">
        <v>536</v>
      </c>
      <c r="F124" s="4" t="s">
        <v>25</v>
      </c>
      <c r="G124" s="4" t="s">
        <v>101</v>
      </c>
      <c r="H124" s="4" t="s">
        <v>151</v>
      </c>
      <c r="I124" s="4" t="s">
        <v>36</v>
      </c>
      <c r="J124" s="4" t="s">
        <v>566</v>
      </c>
      <c r="K124" s="4" t="s">
        <v>567</v>
      </c>
    </row>
    <row r="125" spans="1:11" ht="32" customHeight="1" x14ac:dyDescent="0.2">
      <c r="A125" s="5" t="s">
        <v>568</v>
      </c>
      <c r="B125" s="5" t="s">
        <v>569</v>
      </c>
      <c r="C125" s="5" t="s">
        <v>570</v>
      </c>
      <c r="D125" s="5" t="s">
        <v>571</v>
      </c>
      <c r="E125" s="5" t="s">
        <v>536</v>
      </c>
      <c r="F125" s="5" t="s">
        <v>23</v>
      </c>
      <c r="G125" s="5" t="s">
        <v>572</v>
      </c>
      <c r="H125" s="5" t="s">
        <v>129</v>
      </c>
      <c r="I125" s="5" t="s">
        <v>573</v>
      </c>
      <c r="J125" s="5" t="s">
        <v>549</v>
      </c>
      <c r="K125" s="5" t="s">
        <v>574</v>
      </c>
    </row>
    <row r="126" spans="1:11" ht="32" customHeight="1" x14ac:dyDescent="0.2">
      <c r="A126" s="4" t="s">
        <v>575</v>
      </c>
      <c r="B126" s="4" t="s">
        <v>576</v>
      </c>
      <c r="C126" s="4" t="s">
        <v>577</v>
      </c>
      <c r="D126" s="4" t="s">
        <v>578</v>
      </c>
      <c r="E126" s="4" t="s">
        <v>536</v>
      </c>
      <c r="F126" s="4" t="s">
        <v>22</v>
      </c>
      <c r="G126" s="4" t="s">
        <v>579</v>
      </c>
      <c r="H126" s="4" t="s">
        <v>129</v>
      </c>
      <c r="I126" s="4" t="s">
        <v>576</v>
      </c>
      <c r="J126" s="4" t="s">
        <v>549</v>
      </c>
      <c r="K126" s="4" t="s">
        <v>580</v>
      </c>
    </row>
    <row r="127" spans="1:11" ht="32" customHeight="1" x14ac:dyDescent="0.2">
      <c r="A127" s="5" t="s">
        <v>581</v>
      </c>
      <c r="B127" s="5" t="s">
        <v>576</v>
      </c>
      <c r="C127" s="5" t="s">
        <v>582</v>
      </c>
      <c r="D127" s="5" t="s">
        <v>583</v>
      </c>
      <c r="E127" s="5" t="s">
        <v>536</v>
      </c>
      <c r="F127" s="5" t="s">
        <v>554</v>
      </c>
      <c r="G127" s="5" t="s">
        <v>584</v>
      </c>
      <c r="H127" s="5" t="s">
        <v>129</v>
      </c>
      <c r="I127" s="5" t="s">
        <v>576</v>
      </c>
      <c r="J127" s="5" t="s">
        <v>549</v>
      </c>
      <c r="K127" s="5" t="s">
        <v>585</v>
      </c>
    </row>
    <row r="128" spans="1:11" ht="48" customHeight="1" x14ac:dyDescent="0.2">
      <c r="A128" s="4" t="s">
        <v>586</v>
      </c>
      <c r="B128" s="4" t="s">
        <v>587</v>
      </c>
      <c r="C128" s="4" t="s">
        <v>588</v>
      </c>
      <c r="D128" s="4" t="s">
        <v>589</v>
      </c>
      <c r="E128" s="4" t="s">
        <v>536</v>
      </c>
      <c r="F128" s="4" t="s">
        <v>27</v>
      </c>
      <c r="G128" s="4" t="s">
        <v>198</v>
      </c>
      <c r="H128" s="4" t="s">
        <v>129</v>
      </c>
      <c r="I128" s="4" t="s">
        <v>39</v>
      </c>
      <c r="J128" s="4" t="s">
        <v>131</v>
      </c>
      <c r="K128" s="4" t="s">
        <v>590</v>
      </c>
    </row>
    <row r="129" spans="1:11" ht="32" customHeight="1" x14ac:dyDescent="0.2">
      <c r="A129" s="5" t="s">
        <v>591</v>
      </c>
      <c r="B129" s="5" t="s">
        <v>587</v>
      </c>
      <c r="C129" s="5" t="s">
        <v>592</v>
      </c>
      <c r="D129" s="5" t="s">
        <v>593</v>
      </c>
      <c r="E129" s="5" t="s">
        <v>536</v>
      </c>
      <c r="F129" s="5" t="s">
        <v>25</v>
      </c>
      <c r="G129" s="5" t="s">
        <v>101</v>
      </c>
      <c r="H129" s="5" t="s">
        <v>151</v>
      </c>
      <c r="I129" s="5" t="s">
        <v>39</v>
      </c>
      <c r="J129" s="5" t="s">
        <v>388</v>
      </c>
      <c r="K129" s="5" t="s">
        <v>594</v>
      </c>
    </row>
    <row r="130" spans="1:11" ht="48" customHeight="1" x14ac:dyDescent="0.2">
      <c r="A130" s="4" t="s">
        <v>595</v>
      </c>
      <c r="B130" s="4" t="s">
        <v>587</v>
      </c>
      <c r="C130" s="4" t="s">
        <v>534</v>
      </c>
      <c r="D130" s="4" t="s">
        <v>596</v>
      </c>
      <c r="E130" s="4" t="s">
        <v>536</v>
      </c>
      <c r="F130" s="4" t="s">
        <v>25</v>
      </c>
      <c r="G130" s="4" t="s">
        <v>101</v>
      </c>
      <c r="H130" s="4" t="s">
        <v>151</v>
      </c>
      <c r="I130" s="4" t="s">
        <v>39</v>
      </c>
      <c r="J130" s="4" t="s">
        <v>393</v>
      </c>
      <c r="K130" s="4" t="s">
        <v>597</v>
      </c>
    </row>
    <row r="131" spans="1:11" ht="48" customHeight="1" x14ac:dyDescent="0.2">
      <c r="A131" s="5" t="s">
        <v>598</v>
      </c>
      <c r="B131" s="5" t="s">
        <v>587</v>
      </c>
      <c r="C131" s="5" t="s">
        <v>599</v>
      </c>
      <c r="D131" s="5" t="s">
        <v>600</v>
      </c>
      <c r="E131" s="5" t="s">
        <v>536</v>
      </c>
      <c r="F131" s="5" t="s">
        <v>429</v>
      </c>
      <c r="G131" s="5" t="s">
        <v>601</v>
      </c>
      <c r="H131" s="5" t="s">
        <v>151</v>
      </c>
      <c r="I131" s="5" t="s">
        <v>602</v>
      </c>
      <c r="J131" s="5" t="s">
        <v>603</v>
      </c>
      <c r="K131" s="5" t="s">
        <v>604</v>
      </c>
    </row>
    <row r="132" spans="1:11" ht="64" customHeight="1" x14ac:dyDescent="0.2">
      <c r="A132" s="4" t="s">
        <v>605</v>
      </c>
      <c r="B132" s="4" t="s">
        <v>606</v>
      </c>
      <c r="C132" s="4" t="s">
        <v>607</v>
      </c>
      <c r="D132" s="4" t="s">
        <v>608</v>
      </c>
      <c r="E132" s="4" t="s">
        <v>536</v>
      </c>
      <c r="F132" s="4" t="s">
        <v>23</v>
      </c>
      <c r="G132" s="4" t="s">
        <v>609</v>
      </c>
      <c r="H132" s="4" t="s">
        <v>151</v>
      </c>
      <c r="I132" s="4" t="s">
        <v>39</v>
      </c>
      <c r="J132" s="4" t="s">
        <v>561</v>
      </c>
      <c r="K132" s="4" t="s">
        <v>610</v>
      </c>
    </row>
    <row r="133" spans="1:11" ht="32" customHeight="1" x14ac:dyDescent="0.2">
      <c r="A133" s="5" t="s">
        <v>611</v>
      </c>
      <c r="B133" s="5" t="s">
        <v>298</v>
      </c>
      <c r="C133" s="5" t="s">
        <v>612</v>
      </c>
      <c r="D133" s="5" t="s">
        <v>613</v>
      </c>
      <c r="E133" s="5" t="s">
        <v>536</v>
      </c>
      <c r="F133" s="5" t="s">
        <v>23</v>
      </c>
      <c r="G133" s="5" t="s">
        <v>27</v>
      </c>
      <c r="H133" s="5" t="s">
        <v>129</v>
      </c>
      <c r="I133" s="5" t="s">
        <v>298</v>
      </c>
      <c r="J133" s="5" t="s">
        <v>131</v>
      </c>
      <c r="K133" s="5" t="s">
        <v>614</v>
      </c>
    </row>
    <row r="134" spans="1:11" ht="32" customHeight="1" x14ac:dyDescent="0.2">
      <c r="A134" s="4" t="s">
        <v>615</v>
      </c>
      <c r="B134" s="4" t="s">
        <v>298</v>
      </c>
      <c r="C134" s="4" t="s">
        <v>616</v>
      </c>
      <c r="D134" s="4" t="s">
        <v>617</v>
      </c>
      <c r="E134" s="4" t="s">
        <v>536</v>
      </c>
      <c r="F134" s="4" t="s">
        <v>27</v>
      </c>
      <c r="G134" s="4" t="s">
        <v>254</v>
      </c>
      <c r="H134" s="4" t="s">
        <v>151</v>
      </c>
      <c r="I134" s="4" t="s">
        <v>298</v>
      </c>
      <c r="J134" s="4" t="s">
        <v>618</v>
      </c>
      <c r="K134" s="4" t="s">
        <v>619</v>
      </c>
    </row>
    <row r="135" spans="1:11" ht="48" customHeight="1" x14ac:dyDescent="0.2">
      <c r="A135" s="5" t="s">
        <v>620</v>
      </c>
      <c r="B135" s="5" t="s">
        <v>298</v>
      </c>
      <c r="C135" s="5" t="s">
        <v>621</v>
      </c>
      <c r="D135" s="5" t="s">
        <v>622</v>
      </c>
      <c r="E135" s="5" t="s">
        <v>536</v>
      </c>
      <c r="F135" s="5" t="s">
        <v>27</v>
      </c>
      <c r="G135" s="5" t="s">
        <v>198</v>
      </c>
      <c r="H135" s="5" t="s">
        <v>347</v>
      </c>
      <c r="I135" s="5" t="s">
        <v>623</v>
      </c>
      <c r="J135" s="5" t="s">
        <v>388</v>
      </c>
      <c r="K135" s="5" t="s">
        <v>624</v>
      </c>
    </row>
    <row r="136" spans="1:11" ht="32" customHeight="1" x14ac:dyDescent="0.2">
      <c r="A136" s="4" t="s">
        <v>625</v>
      </c>
      <c r="B136" s="4" t="s">
        <v>298</v>
      </c>
      <c r="C136" s="4" t="s">
        <v>626</v>
      </c>
      <c r="D136" s="4" t="s">
        <v>627</v>
      </c>
      <c r="E136" s="4" t="s">
        <v>536</v>
      </c>
      <c r="F136" s="4" t="s">
        <v>23</v>
      </c>
      <c r="G136" s="4" t="s">
        <v>25</v>
      </c>
      <c r="H136" s="4" t="s">
        <v>151</v>
      </c>
      <c r="I136" s="4" t="s">
        <v>628</v>
      </c>
      <c r="J136" s="4" t="s">
        <v>393</v>
      </c>
      <c r="K136" s="4" t="s">
        <v>629</v>
      </c>
    </row>
    <row r="137" spans="1:11" ht="32" customHeight="1" x14ac:dyDescent="0.2">
      <c r="A137" s="5" t="s">
        <v>630</v>
      </c>
      <c r="B137" s="5" t="s">
        <v>298</v>
      </c>
      <c r="C137" s="5" t="s">
        <v>631</v>
      </c>
      <c r="D137" s="5" t="s">
        <v>632</v>
      </c>
      <c r="E137" s="5" t="s">
        <v>536</v>
      </c>
      <c r="F137" s="5" t="s">
        <v>554</v>
      </c>
      <c r="G137" s="5" t="s">
        <v>555</v>
      </c>
      <c r="H137" s="5" t="s">
        <v>129</v>
      </c>
      <c r="I137" s="5" t="s">
        <v>298</v>
      </c>
      <c r="J137" s="5" t="s">
        <v>549</v>
      </c>
      <c r="K137" s="5" t="s">
        <v>633</v>
      </c>
    </row>
    <row r="138" spans="1:11" ht="32" customHeight="1" x14ac:dyDescent="0.2">
      <c r="A138" s="4" t="s">
        <v>634</v>
      </c>
      <c r="B138" s="4" t="s">
        <v>298</v>
      </c>
      <c r="C138" s="4" t="s">
        <v>635</v>
      </c>
      <c r="D138" s="4" t="s">
        <v>636</v>
      </c>
      <c r="E138" s="4" t="s">
        <v>536</v>
      </c>
      <c r="F138" s="4" t="s">
        <v>23</v>
      </c>
      <c r="G138" s="4" t="s">
        <v>27</v>
      </c>
      <c r="H138" s="4" t="s">
        <v>129</v>
      </c>
      <c r="I138" s="4" t="s">
        <v>637</v>
      </c>
      <c r="J138" s="4" t="s">
        <v>393</v>
      </c>
      <c r="K138" s="4" t="s">
        <v>638</v>
      </c>
    </row>
    <row r="139" spans="1:11" ht="64" customHeight="1" x14ac:dyDescent="0.2">
      <c r="A139" s="5" t="s">
        <v>639</v>
      </c>
      <c r="B139" s="5" t="s">
        <v>640</v>
      </c>
      <c r="C139" s="5" t="s">
        <v>641</v>
      </c>
      <c r="D139" s="5" t="s">
        <v>642</v>
      </c>
      <c r="E139" s="5" t="s">
        <v>536</v>
      </c>
      <c r="F139" s="5" t="s">
        <v>25</v>
      </c>
      <c r="G139" s="5" t="s">
        <v>101</v>
      </c>
      <c r="H139" s="5" t="s">
        <v>151</v>
      </c>
      <c r="I139" s="5" t="s">
        <v>643</v>
      </c>
      <c r="J139" s="5" t="s">
        <v>131</v>
      </c>
      <c r="K139" s="5" t="s">
        <v>644</v>
      </c>
    </row>
    <row r="140" spans="1:11" ht="48" customHeight="1" x14ac:dyDescent="0.2">
      <c r="A140" s="4" t="s">
        <v>645</v>
      </c>
      <c r="B140" s="4" t="s">
        <v>640</v>
      </c>
      <c r="C140" s="4" t="s">
        <v>646</v>
      </c>
      <c r="D140" s="4" t="s">
        <v>647</v>
      </c>
      <c r="E140" s="4" t="s">
        <v>536</v>
      </c>
      <c r="F140" s="4" t="s">
        <v>25</v>
      </c>
      <c r="G140" s="4" t="s">
        <v>101</v>
      </c>
      <c r="H140" s="4" t="s">
        <v>129</v>
      </c>
      <c r="I140" s="4" t="s">
        <v>643</v>
      </c>
      <c r="J140" s="4" t="s">
        <v>131</v>
      </c>
      <c r="K140" s="4" t="s">
        <v>648</v>
      </c>
    </row>
    <row r="141" spans="1:11" ht="48" customHeight="1" x14ac:dyDescent="0.2">
      <c r="A141" s="5" t="s">
        <v>649</v>
      </c>
      <c r="B141" s="5" t="s">
        <v>640</v>
      </c>
      <c r="C141" s="5" t="s">
        <v>650</v>
      </c>
      <c r="D141" s="5" t="s">
        <v>651</v>
      </c>
      <c r="E141" s="5" t="s">
        <v>536</v>
      </c>
      <c r="F141" s="5" t="s">
        <v>23</v>
      </c>
      <c r="G141" s="5" t="s">
        <v>27</v>
      </c>
      <c r="H141" s="5" t="s">
        <v>129</v>
      </c>
      <c r="I141" s="5" t="s">
        <v>643</v>
      </c>
      <c r="J141" s="5" t="s">
        <v>157</v>
      </c>
      <c r="K141" s="5" t="s">
        <v>652</v>
      </c>
    </row>
    <row r="142" spans="1:11" ht="48" customHeight="1" x14ac:dyDescent="0.2">
      <c r="A142" s="4" t="s">
        <v>653</v>
      </c>
      <c r="B142" s="4" t="s">
        <v>640</v>
      </c>
      <c r="C142" s="4" t="s">
        <v>654</v>
      </c>
      <c r="D142" s="4" t="s">
        <v>655</v>
      </c>
      <c r="E142" s="4" t="s">
        <v>536</v>
      </c>
      <c r="F142" s="4" t="s">
        <v>23</v>
      </c>
      <c r="G142" s="4" t="s">
        <v>27</v>
      </c>
      <c r="H142" s="4" t="s">
        <v>151</v>
      </c>
      <c r="I142" s="4" t="s">
        <v>656</v>
      </c>
      <c r="J142" s="4" t="s">
        <v>295</v>
      </c>
      <c r="K142" s="4" t="s">
        <v>657</v>
      </c>
    </row>
    <row r="143" spans="1:11" ht="48" customHeight="1" x14ac:dyDescent="0.2">
      <c r="A143" s="5" t="s">
        <v>658</v>
      </c>
      <c r="B143" s="5" t="s">
        <v>640</v>
      </c>
      <c r="C143" s="5" t="s">
        <v>659</v>
      </c>
      <c r="D143" s="5" t="s">
        <v>660</v>
      </c>
      <c r="E143" s="5" t="s">
        <v>536</v>
      </c>
      <c r="F143" s="5" t="s">
        <v>23</v>
      </c>
      <c r="G143" s="5" t="s">
        <v>25</v>
      </c>
      <c r="H143" s="5" t="s">
        <v>129</v>
      </c>
      <c r="I143" s="5" t="s">
        <v>661</v>
      </c>
      <c r="J143" s="5" t="s">
        <v>393</v>
      </c>
      <c r="K143" s="5" t="s">
        <v>662</v>
      </c>
    </row>
    <row r="144" spans="1:11" ht="48" customHeight="1" x14ac:dyDescent="0.2">
      <c r="A144" s="4" t="s">
        <v>663</v>
      </c>
      <c r="B144" s="4" t="s">
        <v>640</v>
      </c>
      <c r="C144" s="4" t="s">
        <v>664</v>
      </c>
      <c r="D144" s="4" t="s">
        <v>665</v>
      </c>
      <c r="E144" s="4" t="s">
        <v>536</v>
      </c>
      <c r="F144" s="4" t="s">
        <v>22</v>
      </c>
      <c r="G144" s="4" t="s">
        <v>23</v>
      </c>
      <c r="H144" s="4" t="s">
        <v>129</v>
      </c>
      <c r="I144" s="4" t="s">
        <v>666</v>
      </c>
      <c r="J144" s="4" t="s">
        <v>131</v>
      </c>
      <c r="K144" s="4" t="s">
        <v>667</v>
      </c>
    </row>
    <row r="145" spans="1:11" ht="32" customHeight="1" x14ac:dyDescent="0.2">
      <c r="A145" s="5" t="s">
        <v>668</v>
      </c>
      <c r="B145" s="5" t="s">
        <v>640</v>
      </c>
      <c r="C145" s="5" t="s">
        <v>669</v>
      </c>
      <c r="D145" s="5" t="s">
        <v>670</v>
      </c>
      <c r="E145" s="5" t="s">
        <v>536</v>
      </c>
      <c r="F145" s="5" t="s">
        <v>23</v>
      </c>
      <c r="G145" s="5" t="s">
        <v>25</v>
      </c>
      <c r="H145" s="5" t="s">
        <v>151</v>
      </c>
      <c r="I145" s="5" t="s">
        <v>671</v>
      </c>
      <c r="J145" s="5" t="s">
        <v>393</v>
      </c>
      <c r="K145" s="5" t="s">
        <v>672</v>
      </c>
    </row>
    <row r="146" spans="1:11" ht="48" customHeight="1" x14ac:dyDescent="0.2">
      <c r="A146" s="4" t="s">
        <v>673</v>
      </c>
      <c r="B146" s="4" t="s">
        <v>640</v>
      </c>
      <c r="C146" s="4" t="s">
        <v>674</v>
      </c>
      <c r="D146" s="4" t="s">
        <v>675</v>
      </c>
      <c r="E146" s="4" t="s">
        <v>536</v>
      </c>
      <c r="F146" s="4" t="s">
        <v>23</v>
      </c>
      <c r="G146" s="4" t="s">
        <v>25</v>
      </c>
      <c r="H146" s="4" t="s">
        <v>151</v>
      </c>
      <c r="I146" s="4" t="s">
        <v>676</v>
      </c>
      <c r="J146" s="4" t="s">
        <v>393</v>
      </c>
      <c r="K146" s="4" t="s">
        <v>677</v>
      </c>
    </row>
    <row r="148" spans="1:11" ht="20" customHeight="1" x14ac:dyDescent="0.2">
      <c r="A148" s="7" t="s">
        <v>678</v>
      </c>
    </row>
    <row r="149" spans="1:11" ht="18" customHeight="1" x14ac:dyDescent="0.2">
      <c r="A149" s="102" t="s">
        <v>679</v>
      </c>
      <c r="B149" s="103"/>
      <c r="C149" s="103"/>
      <c r="D149" s="103"/>
      <c r="E149" s="103"/>
      <c r="F149" s="103"/>
      <c r="G149" s="103"/>
      <c r="H149" s="103"/>
      <c r="I149" s="103"/>
      <c r="J149" s="103"/>
    </row>
    <row r="150" spans="1:11" ht="18" customHeight="1" x14ac:dyDescent="0.2">
      <c r="A150" s="102" t="s">
        <v>680</v>
      </c>
      <c r="B150" s="103"/>
      <c r="C150" s="103"/>
      <c r="D150" s="103"/>
      <c r="E150" s="103"/>
      <c r="F150" s="103"/>
      <c r="G150" s="103"/>
      <c r="H150" s="103"/>
      <c r="I150" s="103"/>
      <c r="J150" s="103"/>
    </row>
    <row r="151" spans="1:11" ht="18" customHeight="1" x14ac:dyDescent="0.2">
      <c r="A151" s="102" t="s">
        <v>681</v>
      </c>
      <c r="B151" s="103"/>
      <c r="C151" s="103"/>
      <c r="D151" s="103"/>
      <c r="E151" s="103"/>
      <c r="F151" s="103"/>
      <c r="G151" s="103"/>
      <c r="H151" s="103"/>
      <c r="I151" s="103"/>
      <c r="J151" s="103"/>
    </row>
    <row r="152" spans="1:11" ht="18" customHeight="1" x14ac:dyDescent="0.2">
      <c r="A152" s="102" t="s">
        <v>682</v>
      </c>
      <c r="B152" s="103"/>
      <c r="C152" s="103"/>
      <c r="D152" s="103"/>
      <c r="E152" s="103"/>
      <c r="F152" s="103"/>
      <c r="G152" s="103"/>
      <c r="H152" s="103"/>
      <c r="I152" s="103"/>
      <c r="J152" s="103"/>
    </row>
    <row r="153" spans="1:11" ht="18" customHeight="1" x14ac:dyDescent="0.2">
      <c r="A153" s="102" t="s">
        <v>683</v>
      </c>
      <c r="B153" s="103"/>
      <c r="C153" s="103"/>
      <c r="D153" s="103"/>
      <c r="E153" s="103"/>
      <c r="F153" s="103"/>
      <c r="G153" s="103"/>
      <c r="H153" s="103"/>
      <c r="I153" s="103"/>
      <c r="J153" s="103"/>
    </row>
    <row r="155" spans="1:11" ht="20" customHeight="1" x14ac:dyDescent="0.2">
      <c r="A155" s="7" t="s">
        <v>684</v>
      </c>
    </row>
    <row r="156" spans="1:11" ht="18" customHeight="1" x14ac:dyDescent="0.2">
      <c r="A156" s="105" t="s">
        <v>685</v>
      </c>
      <c r="B156" s="103"/>
      <c r="C156" s="103"/>
      <c r="D156" s="103"/>
      <c r="E156" s="103"/>
      <c r="F156" s="103"/>
      <c r="G156" s="103"/>
      <c r="H156" s="103"/>
      <c r="I156" s="103"/>
      <c r="J156" s="103"/>
    </row>
    <row r="158" spans="1:11" ht="18" customHeight="1" x14ac:dyDescent="0.2">
      <c r="A158" s="102" t="s">
        <v>1301</v>
      </c>
      <c r="B158" s="103"/>
      <c r="C158" s="103"/>
      <c r="D158" s="103"/>
      <c r="E158" s="103"/>
      <c r="F158" s="103"/>
      <c r="G158" s="103"/>
      <c r="H158" s="103"/>
      <c r="I158" s="103"/>
      <c r="J158" s="103"/>
    </row>
    <row r="159" spans="1:11" ht="18" customHeight="1" x14ac:dyDescent="0.2">
      <c r="A159" s="102" t="s">
        <v>1302</v>
      </c>
      <c r="B159" s="103"/>
      <c r="C159" s="103"/>
      <c r="D159" s="103"/>
      <c r="E159" s="103"/>
      <c r="F159" s="103"/>
      <c r="G159" s="103"/>
      <c r="H159" s="103"/>
      <c r="I159" s="103"/>
      <c r="J159" s="103"/>
    </row>
    <row r="160" spans="1:11" ht="18" customHeight="1" x14ac:dyDescent="0.2">
      <c r="A160" s="102" t="s">
        <v>1303</v>
      </c>
      <c r="B160" s="103"/>
      <c r="C160" s="103"/>
      <c r="D160" s="103"/>
      <c r="E160" s="103"/>
      <c r="F160" s="103"/>
      <c r="G160" s="103"/>
      <c r="H160" s="103"/>
      <c r="I160" s="103"/>
      <c r="J160" s="103"/>
    </row>
    <row r="161" spans="1:10" ht="18" customHeight="1" x14ac:dyDescent="0.2">
      <c r="A161" s="102" t="s">
        <v>1304</v>
      </c>
      <c r="B161" s="103"/>
      <c r="C161" s="103"/>
      <c r="D161" s="103"/>
      <c r="E161" s="103"/>
      <c r="F161" s="103"/>
      <c r="G161" s="103"/>
      <c r="H161" s="103"/>
      <c r="I161" s="103"/>
      <c r="J161" s="103"/>
    </row>
    <row r="163" spans="1:10" ht="18" customHeight="1" x14ac:dyDescent="0.2">
      <c r="A163" s="105" t="s">
        <v>1362</v>
      </c>
      <c r="B163" s="103"/>
      <c r="C163" s="103"/>
      <c r="D163" s="103"/>
      <c r="E163" s="103"/>
      <c r="F163" s="103"/>
      <c r="G163" s="103"/>
      <c r="H163" s="103"/>
      <c r="I163" s="103"/>
      <c r="J163" s="103"/>
    </row>
    <row r="165" spans="1:10" ht="32" customHeight="1" x14ac:dyDescent="0.2">
      <c r="A165" s="102" t="s">
        <v>686</v>
      </c>
      <c r="B165" s="103"/>
      <c r="C165" s="103"/>
      <c r="D165" s="103"/>
      <c r="E165" s="103"/>
      <c r="F165" s="103"/>
      <c r="G165" s="103"/>
      <c r="H165" s="103"/>
      <c r="I165" s="103"/>
      <c r="J165" s="103"/>
    </row>
    <row r="166" spans="1:10" ht="32" customHeight="1" x14ac:dyDescent="0.2">
      <c r="A166" s="102" t="s">
        <v>687</v>
      </c>
      <c r="B166" s="103"/>
      <c r="C166" s="103"/>
      <c r="D166" s="103"/>
      <c r="E166" s="103"/>
      <c r="F166" s="103"/>
      <c r="G166" s="103"/>
      <c r="H166" s="103"/>
      <c r="I166" s="103"/>
      <c r="J166" s="103"/>
    </row>
    <row r="167" spans="1:10" ht="32" customHeight="1" x14ac:dyDescent="0.2">
      <c r="A167" s="102" t="s">
        <v>688</v>
      </c>
      <c r="B167" s="103"/>
      <c r="C167" s="103"/>
      <c r="D167" s="103"/>
      <c r="E167" s="103"/>
      <c r="F167" s="103"/>
      <c r="G167" s="103"/>
      <c r="H167" s="103"/>
      <c r="I167" s="103"/>
      <c r="J167" s="103"/>
    </row>
    <row r="168" spans="1:10" ht="18" customHeight="1" x14ac:dyDescent="0.2">
      <c r="A168" s="102" t="s">
        <v>689</v>
      </c>
      <c r="B168" s="103"/>
      <c r="C168" s="103"/>
      <c r="D168" s="103"/>
      <c r="E168" s="103"/>
      <c r="F168" s="103"/>
      <c r="G168" s="103"/>
      <c r="H168" s="103"/>
      <c r="I168" s="103"/>
      <c r="J168" s="103"/>
    </row>
    <row r="170" spans="1:10" ht="32" customHeight="1" x14ac:dyDescent="0.2">
      <c r="A170" s="105" t="s">
        <v>1305</v>
      </c>
      <c r="B170" s="103"/>
      <c r="C170" s="103"/>
      <c r="D170" s="103"/>
      <c r="E170" s="103"/>
      <c r="F170" s="103"/>
      <c r="G170" s="103"/>
      <c r="H170" s="103"/>
      <c r="I170" s="103"/>
      <c r="J170" s="103"/>
    </row>
    <row r="172" spans="1:10" ht="22" customHeight="1" x14ac:dyDescent="0.2">
      <c r="A172" s="2" t="s">
        <v>690</v>
      </c>
    </row>
    <row r="173" spans="1:10" ht="18" customHeight="1" x14ac:dyDescent="0.2">
      <c r="A173" s="102" t="s">
        <v>691</v>
      </c>
      <c r="B173" s="103"/>
      <c r="C173" s="103"/>
      <c r="D173" s="103"/>
      <c r="E173" s="103"/>
      <c r="F173" s="103"/>
      <c r="G173" s="103"/>
      <c r="H173" s="103"/>
      <c r="I173" s="103"/>
      <c r="J173" s="103"/>
    </row>
    <row r="174" spans="1:10" ht="32" customHeight="1" x14ac:dyDescent="0.2">
      <c r="A174" s="102" t="s">
        <v>692</v>
      </c>
      <c r="B174" s="103"/>
      <c r="C174" s="103"/>
      <c r="D174" s="103"/>
      <c r="E174" s="103"/>
      <c r="F174" s="103"/>
      <c r="G174" s="103"/>
      <c r="H174" s="103"/>
      <c r="I174" s="103"/>
      <c r="J174" s="103"/>
    </row>
    <row r="175" spans="1:10" ht="18" customHeight="1" x14ac:dyDescent="0.2">
      <c r="A175" s="102" t="s">
        <v>693</v>
      </c>
      <c r="B175" s="103"/>
      <c r="C175" s="103"/>
      <c r="D175" s="103"/>
      <c r="E175" s="103"/>
      <c r="F175" s="103"/>
      <c r="G175" s="103"/>
      <c r="H175" s="103"/>
      <c r="I175" s="103"/>
      <c r="J175" s="103"/>
    </row>
    <row r="176" spans="1:10" ht="18" customHeight="1" x14ac:dyDescent="0.2">
      <c r="A176" s="102" t="s">
        <v>694</v>
      </c>
      <c r="B176" s="103"/>
      <c r="C176" s="103"/>
      <c r="D176" s="103"/>
      <c r="E176" s="103"/>
      <c r="F176" s="103"/>
      <c r="G176" s="103"/>
      <c r="H176" s="103"/>
      <c r="I176" s="103"/>
      <c r="J176" s="103"/>
    </row>
    <row r="177" spans="1:10" ht="18" customHeight="1" x14ac:dyDescent="0.2">
      <c r="A177" s="102" t="s">
        <v>695</v>
      </c>
      <c r="B177" s="103"/>
      <c r="C177" s="103"/>
      <c r="D177" s="103"/>
      <c r="E177" s="103"/>
      <c r="F177" s="103"/>
      <c r="G177" s="103"/>
      <c r="H177" s="103"/>
      <c r="I177" s="103"/>
      <c r="J177" s="103"/>
    </row>
    <row r="178" spans="1:10" ht="18" customHeight="1" x14ac:dyDescent="0.2">
      <c r="A178" s="102" t="s">
        <v>696</v>
      </c>
      <c r="B178" s="103"/>
      <c r="C178" s="103"/>
      <c r="D178" s="103"/>
      <c r="E178" s="103"/>
      <c r="F178" s="103"/>
      <c r="G178" s="103"/>
      <c r="H178" s="103"/>
      <c r="I178" s="103"/>
      <c r="J178" s="103"/>
    </row>
    <row r="179" spans="1:10" ht="32" customHeight="1" x14ac:dyDescent="0.2">
      <c r="A179" s="102" t="s">
        <v>697</v>
      </c>
      <c r="B179" s="103"/>
      <c r="C179" s="103"/>
      <c r="D179" s="103"/>
      <c r="E179" s="103"/>
      <c r="F179" s="103"/>
      <c r="G179" s="103"/>
      <c r="H179" s="103"/>
      <c r="I179" s="103"/>
      <c r="J179" s="103"/>
    </row>
    <row r="180" spans="1:10" ht="18" customHeight="1" x14ac:dyDescent="0.2">
      <c r="A180" s="102" t="s">
        <v>698</v>
      </c>
      <c r="B180" s="103"/>
      <c r="C180" s="103"/>
      <c r="D180" s="103"/>
      <c r="E180" s="103"/>
      <c r="F180" s="103"/>
      <c r="G180" s="103"/>
      <c r="H180" s="103"/>
      <c r="I180" s="103"/>
      <c r="J180" s="103"/>
    </row>
    <row r="181" spans="1:10" ht="18" customHeight="1" x14ac:dyDescent="0.2">
      <c r="A181" s="102" t="s">
        <v>699</v>
      </c>
      <c r="B181" s="103"/>
      <c r="C181" s="103"/>
      <c r="D181" s="103"/>
      <c r="E181" s="103"/>
      <c r="F181" s="103"/>
      <c r="G181" s="103"/>
      <c r="H181" s="103"/>
      <c r="I181" s="103"/>
      <c r="J181" s="103"/>
    </row>
    <row r="182" spans="1:10" ht="18" customHeight="1" x14ac:dyDescent="0.2">
      <c r="A182" s="102" t="s">
        <v>700</v>
      </c>
      <c r="B182" s="103"/>
      <c r="C182" s="103"/>
      <c r="D182" s="103"/>
      <c r="E182" s="103"/>
      <c r="F182" s="103"/>
      <c r="G182" s="103"/>
      <c r="H182" s="103"/>
      <c r="I182" s="103"/>
      <c r="J182" s="103"/>
    </row>
    <row r="183" spans="1:10" ht="18" customHeight="1" x14ac:dyDescent="0.2">
      <c r="A183" s="102" t="s">
        <v>701</v>
      </c>
      <c r="B183" s="103"/>
      <c r="C183" s="103"/>
      <c r="D183" s="103"/>
      <c r="E183" s="103"/>
      <c r="F183" s="103"/>
      <c r="G183" s="103"/>
      <c r="H183" s="103"/>
      <c r="I183" s="103"/>
      <c r="J183" s="103"/>
    </row>
    <row r="184" spans="1:10" ht="18" customHeight="1" x14ac:dyDescent="0.2">
      <c r="A184" s="102" t="s">
        <v>702</v>
      </c>
      <c r="B184" s="103"/>
      <c r="C184" s="103"/>
      <c r="D184" s="103"/>
      <c r="E184" s="103"/>
      <c r="F184" s="103"/>
      <c r="G184" s="103"/>
      <c r="H184" s="103"/>
      <c r="I184" s="103"/>
      <c r="J184" s="103"/>
    </row>
    <row r="185" spans="1:10" ht="32" customHeight="1" x14ac:dyDescent="0.2">
      <c r="A185" s="102" t="s">
        <v>703</v>
      </c>
      <c r="B185" s="103"/>
      <c r="C185" s="103"/>
      <c r="D185" s="103"/>
      <c r="E185" s="103"/>
      <c r="F185" s="103"/>
      <c r="G185" s="103"/>
      <c r="H185" s="103"/>
      <c r="I185" s="103"/>
      <c r="J185" s="103"/>
    </row>
    <row r="186" spans="1:10" ht="18" customHeight="1" x14ac:dyDescent="0.2">
      <c r="A186" s="102" t="s">
        <v>704</v>
      </c>
      <c r="B186" s="103"/>
      <c r="C186" s="103"/>
      <c r="D186" s="103"/>
      <c r="E186" s="103"/>
      <c r="F186" s="103"/>
      <c r="G186" s="103"/>
      <c r="H186" s="103"/>
      <c r="I186" s="103"/>
      <c r="J186" s="103"/>
    </row>
    <row r="187" spans="1:10" ht="32" customHeight="1" x14ac:dyDescent="0.2">
      <c r="A187" s="102" t="s">
        <v>705</v>
      </c>
      <c r="B187" s="103"/>
      <c r="C187" s="103"/>
      <c r="D187" s="103"/>
      <c r="E187" s="103"/>
      <c r="F187" s="103"/>
      <c r="G187" s="103"/>
      <c r="H187" s="103"/>
      <c r="I187" s="103"/>
      <c r="J187" s="103"/>
    </row>
    <row r="188" spans="1:10" ht="48" customHeight="1" x14ac:dyDescent="0.2">
      <c r="A188" s="102" t="s">
        <v>706</v>
      </c>
      <c r="B188" s="103"/>
      <c r="C188" s="103"/>
      <c r="D188" s="103"/>
      <c r="E188" s="103"/>
      <c r="F188" s="103"/>
      <c r="G188" s="103"/>
      <c r="H188" s="103"/>
      <c r="I188" s="103"/>
      <c r="J188" s="103"/>
    </row>
    <row r="189" spans="1:10" ht="48" customHeight="1" x14ac:dyDescent="0.2">
      <c r="A189" s="102" t="s">
        <v>707</v>
      </c>
      <c r="B189" s="103"/>
      <c r="C189" s="103"/>
      <c r="D189" s="103"/>
      <c r="E189" s="103"/>
      <c r="F189" s="103"/>
      <c r="G189" s="103"/>
      <c r="H189" s="103"/>
      <c r="I189" s="103"/>
      <c r="J189" s="103"/>
    </row>
    <row r="190" spans="1:10" ht="32" customHeight="1" x14ac:dyDescent="0.2">
      <c r="A190" s="102" t="s">
        <v>708</v>
      </c>
      <c r="B190" s="103"/>
      <c r="C190" s="103"/>
      <c r="D190" s="103"/>
      <c r="E190" s="103"/>
      <c r="F190" s="103"/>
      <c r="G190" s="103"/>
      <c r="H190" s="103"/>
      <c r="I190" s="103"/>
      <c r="J190" s="103"/>
    </row>
    <row r="191" spans="1:10" ht="32" customHeight="1" x14ac:dyDescent="0.2">
      <c r="A191" s="102" t="s">
        <v>709</v>
      </c>
      <c r="B191" s="103"/>
      <c r="C191" s="103"/>
      <c r="D191" s="103"/>
      <c r="E191" s="103"/>
      <c r="F191" s="103"/>
      <c r="G191" s="103"/>
      <c r="H191" s="103"/>
      <c r="I191" s="103"/>
      <c r="J191" s="103"/>
    </row>
    <row r="193" spans="1:10" ht="22" customHeight="1" x14ac:dyDescent="0.2">
      <c r="A193" s="2" t="s">
        <v>710</v>
      </c>
    </row>
    <row r="194" spans="1:10" ht="32" customHeight="1" x14ac:dyDescent="0.2">
      <c r="A194" s="102" t="s">
        <v>711</v>
      </c>
      <c r="B194" s="103"/>
      <c r="C194" s="103"/>
      <c r="D194" s="103"/>
      <c r="E194" s="103"/>
      <c r="F194" s="103"/>
      <c r="G194" s="103"/>
      <c r="H194" s="103"/>
      <c r="I194" s="103"/>
      <c r="J194" s="103"/>
    </row>
    <row r="195" spans="1:10" ht="18" customHeight="1" x14ac:dyDescent="0.2">
      <c r="A195" s="102" t="s">
        <v>712</v>
      </c>
      <c r="B195" s="103"/>
      <c r="C195" s="103"/>
      <c r="D195" s="103"/>
      <c r="E195" s="103"/>
      <c r="F195" s="103"/>
      <c r="G195" s="103"/>
      <c r="H195" s="103"/>
      <c r="I195" s="103"/>
      <c r="J195" s="103"/>
    </row>
    <row r="196" spans="1:10" ht="18" customHeight="1" x14ac:dyDescent="0.2">
      <c r="A196" s="102" t="s">
        <v>713</v>
      </c>
      <c r="B196" s="103"/>
      <c r="C196" s="103"/>
      <c r="D196" s="103"/>
      <c r="E196" s="103"/>
      <c r="F196" s="103"/>
      <c r="G196" s="103"/>
      <c r="H196" s="103"/>
      <c r="I196" s="103"/>
      <c r="J196" s="103"/>
    </row>
    <row r="197" spans="1:10" ht="18" customHeight="1" x14ac:dyDescent="0.2">
      <c r="A197" s="102" t="s">
        <v>714</v>
      </c>
      <c r="B197" s="103"/>
      <c r="C197" s="103"/>
      <c r="D197" s="103"/>
      <c r="E197" s="103"/>
      <c r="F197" s="103"/>
      <c r="G197" s="103"/>
      <c r="H197" s="103"/>
      <c r="I197" s="103"/>
      <c r="J197" s="103"/>
    </row>
    <row r="198" spans="1:10" ht="18" customHeight="1" x14ac:dyDescent="0.2">
      <c r="A198" s="102" t="s">
        <v>715</v>
      </c>
      <c r="B198" s="103"/>
      <c r="C198" s="103"/>
      <c r="D198" s="103"/>
      <c r="E198" s="103"/>
      <c r="F198" s="103"/>
      <c r="G198" s="103"/>
      <c r="H198" s="103"/>
      <c r="I198" s="103"/>
      <c r="J198" s="103"/>
    </row>
    <row r="199" spans="1:10" ht="18" customHeight="1" x14ac:dyDescent="0.2">
      <c r="A199" s="102" t="s">
        <v>716</v>
      </c>
      <c r="B199" s="103"/>
      <c r="C199" s="103"/>
      <c r="D199" s="103"/>
      <c r="E199" s="103"/>
      <c r="F199" s="103"/>
      <c r="G199" s="103"/>
      <c r="H199" s="103"/>
      <c r="I199" s="103"/>
      <c r="J199" s="103"/>
    </row>
    <row r="200" spans="1:10" ht="18" customHeight="1" x14ac:dyDescent="0.2">
      <c r="A200" s="102" t="s">
        <v>717</v>
      </c>
      <c r="B200" s="103"/>
      <c r="C200" s="103"/>
      <c r="D200" s="103"/>
      <c r="E200" s="103"/>
      <c r="F200" s="103"/>
      <c r="G200" s="103"/>
      <c r="H200" s="103"/>
      <c r="I200" s="103"/>
      <c r="J200" s="103"/>
    </row>
    <row r="201" spans="1:10" ht="18" customHeight="1" x14ac:dyDescent="0.2">
      <c r="A201" s="102" t="s">
        <v>718</v>
      </c>
      <c r="B201" s="103"/>
      <c r="C201" s="103"/>
      <c r="D201" s="103"/>
      <c r="E201" s="103"/>
      <c r="F201" s="103"/>
      <c r="G201" s="103"/>
      <c r="H201" s="103"/>
      <c r="I201" s="103"/>
      <c r="J201" s="103"/>
    </row>
    <row r="202" spans="1:10" ht="18" customHeight="1" x14ac:dyDescent="0.2">
      <c r="A202" s="102" t="s">
        <v>719</v>
      </c>
      <c r="B202" s="103"/>
      <c r="C202" s="103"/>
      <c r="D202" s="103"/>
      <c r="E202" s="103"/>
      <c r="F202" s="103"/>
      <c r="G202" s="103"/>
      <c r="H202" s="103"/>
      <c r="I202" s="103"/>
      <c r="J202" s="103"/>
    </row>
    <row r="203" spans="1:10" ht="18" customHeight="1" x14ac:dyDescent="0.2">
      <c r="A203" s="102" t="s">
        <v>720</v>
      </c>
      <c r="B203" s="103"/>
      <c r="C203" s="103"/>
      <c r="D203" s="103"/>
      <c r="E203" s="103"/>
      <c r="F203" s="103"/>
      <c r="G203" s="103"/>
      <c r="H203" s="103"/>
      <c r="I203" s="103"/>
      <c r="J203" s="103"/>
    </row>
    <row r="204" spans="1:10" ht="18" customHeight="1" x14ac:dyDescent="0.2">
      <c r="A204" s="102" t="s">
        <v>721</v>
      </c>
      <c r="B204" s="103"/>
      <c r="C204" s="103"/>
      <c r="D204" s="103"/>
      <c r="E204" s="103"/>
      <c r="F204" s="103"/>
      <c r="G204" s="103"/>
      <c r="H204" s="103"/>
      <c r="I204" s="103"/>
      <c r="J204" s="103"/>
    </row>
    <row r="205" spans="1:10" ht="18" customHeight="1" x14ac:dyDescent="0.2">
      <c r="A205" s="102" t="s">
        <v>722</v>
      </c>
      <c r="B205" s="103"/>
      <c r="C205" s="103"/>
      <c r="D205" s="103"/>
      <c r="E205" s="103"/>
      <c r="F205" s="103"/>
      <c r="G205" s="103"/>
      <c r="H205" s="103"/>
      <c r="I205" s="103"/>
      <c r="J205" s="103"/>
    </row>
    <row r="206" spans="1:10" ht="18" customHeight="1" x14ac:dyDescent="0.2">
      <c r="A206" s="102" t="s">
        <v>723</v>
      </c>
      <c r="B206" s="103"/>
      <c r="C206" s="103"/>
      <c r="D206" s="103"/>
      <c r="E206" s="103"/>
      <c r="F206" s="103"/>
      <c r="G206" s="103"/>
      <c r="H206" s="103"/>
      <c r="I206" s="103"/>
      <c r="J206" s="103"/>
    </row>
    <row r="207" spans="1:10" ht="18" customHeight="1" x14ac:dyDescent="0.2">
      <c r="A207" s="102" t="s">
        <v>724</v>
      </c>
      <c r="B207" s="103"/>
      <c r="C207" s="103"/>
      <c r="D207" s="103"/>
      <c r="E207" s="103"/>
      <c r="F207" s="103"/>
      <c r="G207" s="103"/>
      <c r="H207" s="103"/>
      <c r="I207" s="103"/>
      <c r="J207" s="103"/>
    </row>
    <row r="208" spans="1:10" ht="48" customHeight="1" x14ac:dyDescent="0.2">
      <c r="A208" s="102" t="s">
        <v>725</v>
      </c>
      <c r="B208" s="103"/>
      <c r="C208" s="103"/>
      <c r="D208" s="103"/>
      <c r="E208" s="103"/>
      <c r="F208" s="103"/>
      <c r="G208" s="103"/>
      <c r="H208" s="103"/>
      <c r="I208" s="103"/>
      <c r="J208" s="103"/>
    </row>
    <row r="210" spans="1:10" ht="22" customHeight="1" x14ac:dyDescent="0.2">
      <c r="A210" s="2" t="s">
        <v>726</v>
      </c>
    </row>
    <row r="211" spans="1:10" ht="18" customHeight="1" x14ac:dyDescent="0.2">
      <c r="A211" s="102" t="s">
        <v>727</v>
      </c>
      <c r="B211" s="103"/>
      <c r="C211" s="103"/>
      <c r="D211" s="103"/>
      <c r="E211" s="103"/>
      <c r="F211" s="103"/>
      <c r="G211" s="103"/>
      <c r="H211" s="103"/>
      <c r="I211" s="103"/>
      <c r="J211" s="103"/>
    </row>
    <row r="212" spans="1:10" ht="18" customHeight="1" x14ac:dyDescent="0.2">
      <c r="A212" s="102" t="s">
        <v>728</v>
      </c>
      <c r="B212" s="103"/>
      <c r="C212" s="103"/>
      <c r="D212" s="103"/>
      <c r="E212" s="103"/>
      <c r="F212" s="103"/>
      <c r="G212" s="103"/>
      <c r="H212" s="103"/>
      <c r="I212" s="103"/>
      <c r="J212" s="103"/>
    </row>
    <row r="213" spans="1:10" ht="18" customHeight="1" x14ac:dyDescent="0.2">
      <c r="A213" s="102" t="s">
        <v>729</v>
      </c>
      <c r="B213" s="103"/>
      <c r="C213" s="103"/>
      <c r="D213" s="103"/>
      <c r="E213" s="103"/>
      <c r="F213" s="103"/>
      <c r="G213" s="103"/>
      <c r="H213" s="103"/>
      <c r="I213" s="103"/>
      <c r="J213" s="103"/>
    </row>
    <row r="214" spans="1:10" ht="18" customHeight="1" x14ac:dyDescent="0.2">
      <c r="A214" s="102" t="s">
        <v>730</v>
      </c>
      <c r="B214" s="103"/>
      <c r="C214" s="103"/>
      <c r="D214" s="103"/>
      <c r="E214" s="103"/>
      <c r="F214" s="103"/>
      <c r="G214" s="103"/>
      <c r="H214" s="103"/>
      <c r="I214" s="103"/>
      <c r="J214" s="103"/>
    </row>
    <row r="215" spans="1:10" ht="18" customHeight="1" x14ac:dyDescent="0.2">
      <c r="A215" s="102" t="s">
        <v>731</v>
      </c>
      <c r="B215" s="103"/>
      <c r="C215" s="103"/>
      <c r="D215" s="103"/>
      <c r="E215" s="103"/>
      <c r="F215" s="103"/>
      <c r="G215" s="103"/>
      <c r="H215" s="103"/>
      <c r="I215" s="103"/>
      <c r="J215" s="103"/>
    </row>
    <row r="217" spans="1:10" ht="18" customHeight="1" x14ac:dyDescent="0.2">
      <c r="A217" s="105" t="s">
        <v>732</v>
      </c>
      <c r="B217" s="103"/>
      <c r="C217" s="103"/>
      <c r="D217" s="103"/>
      <c r="E217" s="103"/>
      <c r="F217" s="103"/>
      <c r="G217" s="103"/>
      <c r="H217" s="103"/>
      <c r="I217" s="103"/>
      <c r="J217" s="103"/>
    </row>
    <row r="219" spans="1:10" ht="22" customHeight="1" x14ac:dyDescent="0.2">
      <c r="A219" s="2" t="s">
        <v>733</v>
      </c>
    </row>
    <row r="220" spans="1:10" ht="28" customHeight="1" x14ac:dyDescent="0.2">
      <c r="A220" s="3" t="s">
        <v>734</v>
      </c>
      <c r="B220" s="3" t="s">
        <v>735</v>
      </c>
      <c r="C220" s="3" t="s">
        <v>736</v>
      </c>
      <c r="D220" s="3" t="s">
        <v>737</v>
      </c>
      <c r="E220" s="3" t="s">
        <v>65</v>
      </c>
    </row>
    <row r="221" spans="1:10" ht="18" customHeight="1" x14ac:dyDescent="0.2">
      <c r="A221" s="4" t="s">
        <v>738</v>
      </c>
      <c r="B221" s="4" t="s">
        <v>739</v>
      </c>
      <c r="C221" s="4" t="s">
        <v>536</v>
      </c>
      <c r="D221" s="4" t="s">
        <v>536</v>
      </c>
      <c r="E221" s="4" t="s">
        <v>536</v>
      </c>
    </row>
  </sheetData>
  <mergeCells count="65">
    <mergeCell ref="A204:J204"/>
    <mergeCell ref="A179:J179"/>
    <mergeCell ref="A195:J195"/>
    <mergeCell ref="A175:J175"/>
    <mergeCell ref="A151:J151"/>
    <mergeCell ref="A185:J185"/>
    <mergeCell ref="A160:J160"/>
    <mergeCell ref="A177:J177"/>
    <mergeCell ref="A14:J14"/>
    <mergeCell ref="A173:J173"/>
    <mergeCell ref="A3:J3"/>
    <mergeCell ref="A163:J163"/>
    <mergeCell ref="A6:J6"/>
    <mergeCell ref="A16:J16"/>
    <mergeCell ref="A9:J9"/>
    <mergeCell ref="A82:J82"/>
    <mergeCell ref="A11:J11"/>
    <mergeCell ref="A207:J207"/>
    <mergeCell ref="A8:J8"/>
    <mergeCell ref="A206:J206"/>
    <mergeCell ref="A217:J217"/>
    <mergeCell ref="A208:J208"/>
    <mergeCell ref="A198:J198"/>
    <mergeCell ref="A149:J149"/>
    <mergeCell ref="A214:J214"/>
    <mergeCell ref="A189:J189"/>
    <mergeCell ref="A158:J158"/>
    <mergeCell ref="A197:J197"/>
    <mergeCell ref="A153:J153"/>
    <mergeCell ref="A196:J196"/>
    <mergeCell ref="A174:J174"/>
    <mergeCell ref="A187:J187"/>
    <mergeCell ref="A183:J183"/>
    <mergeCell ref="A178:J178"/>
    <mergeCell ref="A167:J167"/>
    <mergeCell ref="A213:J213"/>
    <mergeCell ref="A184:J184"/>
    <mergeCell ref="A215:J215"/>
    <mergeCell ref="A200:J200"/>
    <mergeCell ref="A190:J190"/>
    <mergeCell ref="A199:J199"/>
    <mergeCell ref="A202:J202"/>
    <mergeCell ref="A212:J212"/>
    <mergeCell ref="A203:J203"/>
    <mergeCell ref="A194:J194"/>
    <mergeCell ref="A211:J211"/>
    <mergeCell ref="A186:J186"/>
    <mergeCell ref="A201:J201"/>
    <mergeCell ref="A191:J191"/>
    <mergeCell ref="A168:J168"/>
    <mergeCell ref="A205:J205"/>
    <mergeCell ref="A117:J117"/>
    <mergeCell ref="A159:J159"/>
    <mergeCell ref="A181:J181"/>
    <mergeCell ref="A150:J150"/>
    <mergeCell ref="A188:J188"/>
    <mergeCell ref="A180:J180"/>
    <mergeCell ref="A156:J156"/>
    <mergeCell ref="A165:J165"/>
    <mergeCell ref="A161:J161"/>
    <mergeCell ref="A152:J152"/>
    <mergeCell ref="A170:J170"/>
    <mergeCell ref="A176:J176"/>
    <mergeCell ref="A166:J166"/>
    <mergeCell ref="A182:J182"/>
  </mergeCells>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65"/>
  <sheetViews>
    <sheetView workbookViewId="0">
      <selection activeCell="A169" sqref="A169"/>
    </sheetView>
  </sheetViews>
  <sheetFormatPr baseColWidth="10" defaultColWidth="8.83203125" defaultRowHeight="15" x14ac:dyDescent="0.2"/>
  <cols>
    <col min="1" max="1" width="40" customWidth="1"/>
    <col min="2" max="6" width="50" customWidth="1"/>
    <col min="7" max="11" width="18" customWidth="1"/>
  </cols>
  <sheetData>
    <row r="1" spans="1:12" ht="28" customHeight="1" x14ac:dyDescent="0.2">
      <c r="A1" s="59" t="s">
        <v>1514</v>
      </c>
    </row>
    <row r="2" spans="1:12" x14ac:dyDescent="0.2">
      <c r="A2" t="s">
        <v>1515</v>
      </c>
    </row>
    <row r="3" spans="1:12" ht="48" customHeight="1" x14ac:dyDescent="0.2">
      <c r="A3" s="104"/>
      <c r="B3" s="104"/>
      <c r="C3" s="104"/>
      <c r="D3" s="104"/>
      <c r="E3" s="104"/>
      <c r="F3" s="104"/>
      <c r="G3" s="104"/>
      <c r="H3" s="104"/>
      <c r="I3" s="104"/>
      <c r="J3" s="104"/>
    </row>
    <row r="4" spans="1:12" x14ac:dyDescent="0.2">
      <c r="L4" s="11" t="s">
        <v>1268</v>
      </c>
    </row>
    <row r="5" spans="1:12" ht="22" customHeight="1" x14ac:dyDescent="0.2">
      <c r="A5" s="2" t="s">
        <v>1516</v>
      </c>
    </row>
    <row r="6" spans="1:12" ht="18" customHeight="1" x14ac:dyDescent="0.2">
      <c r="A6" s="105" t="s">
        <v>766</v>
      </c>
      <c r="B6" s="105"/>
      <c r="C6" s="105"/>
      <c r="D6" s="105"/>
      <c r="E6" s="105"/>
      <c r="F6" s="105"/>
      <c r="G6" s="105"/>
      <c r="H6" s="105"/>
      <c r="I6" s="105"/>
      <c r="J6" s="105"/>
    </row>
    <row r="8" spans="1:12" ht="20" customHeight="1" x14ac:dyDescent="0.2">
      <c r="A8" s="7" t="s">
        <v>767</v>
      </c>
    </row>
    <row r="9" spans="1:12" ht="28" customHeight="1" x14ac:dyDescent="0.2">
      <c r="A9" s="3" t="s">
        <v>332</v>
      </c>
      <c r="B9" s="3" t="s">
        <v>768</v>
      </c>
      <c r="C9" s="3" t="s">
        <v>763</v>
      </c>
      <c r="D9" s="3" t="s">
        <v>769</v>
      </c>
      <c r="E9" s="3" t="s">
        <v>770</v>
      </c>
      <c r="F9" s="3" t="s">
        <v>2</v>
      </c>
    </row>
    <row r="10" spans="1:12" ht="32" customHeight="1" x14ac:dyDescent="0.2">
      <c r="A10" s="4" t="s">
        <v>771</v>
      </c>
      <c r="B10" s="4" t="s">
        <v>772</v>
      </c>
      <c r="C10" s="4" t="s">
        <v>773</v>
      </c>
      <c r="D10" s="4" t="s">
        <v>774</v>
      </c>
      <c r="E10" s="4" t="s">
        <v>775</v>
      </c>
      <c r="F10" s="4" t="s">
        <v>39</v>
      </c>
    </row>
    <row r="11" spans="1:12" ht="32" customHeight="1" x14ac:dyDescent="0.2">
      <c r="A11" s="5" t="s">
        <v>776</v>
      </c>
      <c r="B11" s="5" t="s">
        <v>777</v>
      </c>
      <c r="C11" s="5" t="s">
        <v>778</v>
      </c>
      <c r="D11" s="5" t="s">
        <v>779</v>
      </c>
      <c r="E11" s="5" t="s">
        <v>780</v>
      </c>
      <c r="F11" s="5" t="s">
        <v>781</v>
      </c>
    </row>
    <row r="12" spans="1:12" ht="96" customHeight="1" x14ac:dyDescent="0.2">
      <c r="A12" s="4" t="s">
        <v>782</v>
      </c>
      <c r="B12" s="4" t="s">
        <v>783</v>
      </c>
      <c r="C12" s="4" t="s">
        <v>784</v>
      </c>
      <c r="D12" s="4" t="s">
        <v>785</v>
      </c>
      <c r="E12" s="4" t="s">
        <v>786</v>
      </c>
      <c r="F12" s="4" t="s">
        <v>782</v>
      </c>
    </row>
    <row r="13" spans="1:12" ht="48" customHeight="1" x14ac:dyDescent="0.2">
      <c r="A13" s="5" t="s">
        <v>298</v>
      </c>
      <c r="B13" s="5" t="s">
        <v>787</v>
      </c>
      <c r="C13" s="5" t="s">
        <v>788</v>
      </c>
      <c r="D13" s="5" t="s">
        <v>789</v>
      </c>
      <c r="E13" s="5" t="s">
        <v>790</v>
      </c>
      <c r="F13" s="5" t="s">
        <v>298</v>
      </c>
    </row>
    <row r="14" spans="1:12" ht="32" customHeight="1" x14ac:dyDescent="0.2">
      <c r="A14" s="4" t="s">
        <v>791</v>
      </c>
      <c r="B14" s="4" t="s">
        <v>792</v>
      </c>
      <c r="C14" s="4" t="s">
        <v>793</v>
      </c>
      <c r="D14" s="4" t="s">
        <v>794</v>
      </c>
      <c r="E14" s="4" t="s">
        <v>795</v>
      </c>
      <c r="F14" s="4" t="s">
        <v>796</v>
      </c>
    </row>
    <row r="15" spans="1:12" ht="32" customHeight="1" x14ac:dyDescent="0.2">
      <c r="A15" s="5" t="s">
        <v>797</v>
      </c>
      <c r="B15" s="5" t="s">
        <v>798</v>
      </c>
      <c r="C15" s="5" t="s">
        <v>799</v>
      </c>
      <c r="D15" s="5" t="s">
        <v>800</v>
      </c>
      <c r="E15" s="5" t="s">
        <v>801</v>
      </c>
      <c r="F15" s="5" t="s">
        <v>640</v>
      </c>
    </row>
    <row r="17" spans="1:10" ht="22" customHeight="1" x14ac:dyDescent="0.2">
      <c r="A17" s="2" t="s">
        <v>1517</v>
      </c>
    </row>
    <row r="18" spans="1:10" ht="20" customHeight="1" x14ac:dyDescent="0.2">
      <c r="A18" s="7" t="s">
        <v>802</v>
      </c>
    </row>
    <row r="19" spans="1:10" ht="28" customHeight="1" x14ac:dyDescent="0.2">
      <c r="A19" s="3" t="s">
        <v>30</v>
      </c>
      <c r="B19" s="3" t="s">
        <v>31</v>
      </c>
      <c r="C19" s="3" t="s">
        <v>803</v>
      </c>
      <c r="D19" s="3" t="s">
        <v>65</v>
      </c>
    </row>
    <row r="20" spans="1:10" ht="18" customHeight="1" x14ac:dyDescent="0.2">
      <c r="A20" s="4" t="s">
        <v>804</v>
      </c>
      <c r="B20" s="4" t="s">
        <v>805</v>
      </c>
      <c r="C20" s="4" t="s">
        <v>536</v>
      </c>
      <c r="D20" s="8" t="s">
        <v>63</v>
      </c>
    </row>
    <row r="21" spans="1:10" ht="18" customHeight="1" x14ac:dyDescent="0.2">
      <c r="A21" s="5" t="s">
        <v>806</v>
      </c>
      <c r="B21" s="5" t="s">
        <v>807</v>
      </c>
      <c r="C21" s="5" t="s">
        <v>536</v>
      </c>
      <c r="D21" s="8" t="s">
        <v>63</v>
      </c>
    </row>
    <row r="22" spans="1:10" ht="18" customHeight="1" x14ac:dyDescent="0.2">
      <c r="A22" s="4" t="s">
        <v>808</v>
      </c>
      <c r="B22" s="4" t="s">
        <v>809</v>
      </c>
      <c r="C22" s="4" t="s">
        <v>536</v>
      </c>
      <c r="D22" s="8" t="s">
        <v>63</v>
      </c>
    </row>
    <row r="23" spans="1:10" ht="18" customHeight="1" x14ac:dyDescent="0.2">
      <c r="A23" s="5" t="s">
        <v>810</v>
      </c>
      <c r="B23" s="5" t="s">
        <v>811</v>
      </c>
      <c r="C23" s="5" t="s">
        <v>536</v>
      </c>
      <c r="D23" s="8" t="s">
        <v>63</v>
      </c>
    </row>
    <row r="25" spans="1:10" ht="20" customHeight="1" x14ac:dyDescent="0.2">
      <c r="A25" s="7" t="s">
        <v>812</v>
      </c>
    </row>
    <row r="26" spans="1:10" ht="18" customHeight="1" x14ac:dyDescent="0.2">
      <c r="A26" s="105"/>
      <c r="B26" s="105"/>
      <c r="C26" s="105"/>
      <c r="D26" s="105"/>
      <c r="E26" s="105"/>
      <c r="F26" s="105"/>
      <c r="G26" s="105"/>
      <c r="H26" s="105"/>
      <c r="I26" s="105"/>
      <c r="J26" s="105"/>
    </row>
    <row r="27" spans="1:10" x14ac:dyDescent="0.2">
      <c r="F27" s="11" t="s">
        <v>1269</v>
      </c>
    </row>
    <row r="28" spans="1:10" ht="28" customHeight="1" x14ac:dyDescent="0.2">
      <c r="A28" s="3" t="s">
        <v>122</v>
      </c>
      <c r="B28" s="3" t="s">
        <v>813</v>
      </c>
      <c r="C28" s="3" t="s">
        <v>814</v>
      </c>
      <c r="D28" s="3" t="s">
        <v>93</v>
      </c>
      <c r="F28" s="9" t="s">
        <v>122</v>
      </c>
      <c r="G28" s="9" t="s">
        <v>1270</v>
      </c>
      <c r="H28" s="9" t="s">
        <v>1271</v>
      </c>
    </row>
    <row r="29" spans="1:10" ht="18" customHeight="1" x14ac:dyDescent="0.2">
      <c r="A29" s="4" t="s">
        <v>131</v>
      </c>
      <c r="B29" s="4" t="s">
        <v>815</v>
      </c>
      <c r="C29" s="4" t="s">
        <v>536</v>
      </c>
      <c r="D29" s="4" t="s">
        <v>816</v>
      </c>
      <c r="F29" t="s">
        <v>131</v>
      </c>
      <c r="G29">
        <v>0</v>
      </c>
      <c r="H29">
        <v>0</v>
      </c>
    </row>
    <row r="30" spans="1:10" ht="18" customHeight="1" x14ac:dyDescent="0.2">
      <c r="A30" s="5" t="s">
        <v>157</v>
      </c>
      <c r="B30" s="5" t="s">
        <v>536</v>
      </c>
      <c r="C30" s="5" t="s">
        <v>536</v>
      </c>
      <c r="D30" s="5"/>
      <c r="F30" t="s">
        <v>157</v>
      </c>
      <c r="G30">
        <v>0</v>
      </c>
      <c r="H30">
        <v>0</v>
      </c>
    </row>
    <row r="31" spans="1:10" ht="18" customHeight="1" x14ac:dyDescent="0.2">
      <c r="A31" s="4" t="s">
        <v>295</v>
      </c>
      <c r="B31" s="4" t="s">
        <v>536</v>
      </c>
      <c r="C31" s="4" t="s">
        <v>536</v>
      </c>
      <c r="D31" s="4"/>
      <c r="F31" t="s">
        <v>295</v>
      </c>
      <c r="G31">
        <v>0</v>
      </c>
      <c r="H31">
        <v>0</v>
      </c>
    </row>
    <row r="32" spans="1:10" ht="18" customHeight="1" x14ac:dyDescent="0.2">
      <c r="A32" s="5" t="s">
        <v>393</v>
      </c>
      <c r="B32" s="5" t="s">
        <v>536</v>
      </c>
      <c r="C32" s="5" t="s">
        <v>536</v>
      </c>
      <c r="D32" s="5"/>
      <c r="F32" t="s">
        <v>393</v>
      </c>
      <c r="G32">
        <v>0</v>
      </c>
      <c r="H32">
        <v>0</v>
      </c>
    </row>
    <row r="34" spans="1:10" ht="20" customHeight="1" x14ac:dyDescent="0.2">
      <c r="A34" s="7" t="s">
        <v>817</v>
      </c>
    </row>
    <row r="35" spans="1:10" ht="32" customHeight="1" x14ac:dyDescent="0.2">
      <c r="A35" s="105"/>
      <c r="B35" s="105"/>
      <c r="C35" s="105"/>
      <c r="D35" s="105"/>
      <c r="E35" s="105"/>
      <c r="F35" s="105"/>
      <c r="G35" s="105"/>
      <c r="H35" s="105"/>
      <c r="I35" s="105"/>
      <c r="J35" s="105"/>
    </row>
    <row r="37" spans="1:10" ht="22" customHeight="1" x14ac:dyDescent="0.2">
      <c r="A37" s="2" t="s">
        <v>1518</v>
      </c>
    </row>
    <row r="38" spans="1:10" ht="20" customHeight="1" x14ac:dyDescent="0.2">
      <c r="A38" s="7" t="s">
        <v>818</v>
      </c>
    </row>
    <row r="39" spans="1:10" ht="28" customHeight="1" x14ac:dyDescent="0.2">
      <c r="A39" s="3" t="s">
        <v>819</v>
      </c>
      <c r="B39" s="3" t="s">
        <v>820</v>
      </c>
      <c r="C39" s="3" t="s">
        <v>821</v>
      </c>
    </row>
    <row r="40" spans="1:10" ht="48" customHeight="1" x14ac:dyDescent="0.2">
      <c r="A40" s="4" t="s">
        <v>822</v>
      </c>
      <c r="B40" s="4" t="s">
        <v>823</v>
      </c>
      <c r="C40" s="4" t="s">
        <v>824</v>
      </c>
    </row>
    <row r="41" spans="1:10" ht="48" customHeight="1" x14ac:dyDescent="0.2">
      <c r="A41" s="5" t="s">
        <v>825</v>
      </c>
      <c r="B41" s="5" t="s">
        <v>826</v>
      </c>
      <c r="C41" s="5" t="s">
        <v>827</v>
      </c>
    </row>
    <row r="42" spans="1:10" ht="48" customHeight="1" x14ac:dyDescent="0.2">
      <c r="A42" s="4" t="s">
        <v>828</v>
      </c>
      <c r="B42" s="4" t="s">
        <v>829</v>
      </c>
      <c r="C42" s="4" t="s">
        <v>830</v>
      </c>
    </row>
    <row r="43" spans="1:10" ht="32" customHeight="1" x14ac:dyDescent="0.2">
      <c r="A43" s="5" t="s">
        <v>831</v>
      </c>
      <c r="B43" s="5" t="s">
        <v>832</v>
      </c>
      <c r="C43" s="5" t="s">
        <v>833</v>
      </c>
    </row>
    <row r="44" spans="1:10" ht="48" customHeight="1" x14ac:dyDescent="0.2">
      <c r="A44" s="4" t="s">
        <v>201</v>
      </c>
      <c r="B44" s="4" t="s">
        <v>834</v>
      </c>
      <c r="C44" s="4" t="s">
        <v>835</v>
      </c>
    </row>
    <row r="45" spans="1:10" ht="48" customHeight="1" x14ac:dyDescent="0.2">
      <c r="A45" s="5" t="s">
        <v>378</v>
      </c>
      <c r="B45" s="5" t="s">
        <v>836</v>
      </c>
      <c r="C45" s="5" t="s">
        <v>837</v>
      </c>
    </row>
    <row r="47" spans="1:10" ht="20" customHeight="1" x14ac:dyDescent="0.2">
      <c r="A47" s="7" t="s">
        <v>838</v>
      </c>
    </row>
    <row r="48" spans="1:10" ht="18" customHeight="1" x14ac:dyDescent="0.2">
      <c r="A48" s="102" t="s">
        <v>839</v>
      </c>
      <c r="B48" s="102"/>
      <c r="C48" s="102"/>
      <c r="D48" s="102"/>
      <c r="E48" s="102"/>
      <c r="F48" s="102"/>
      <c r="G48" s="102"/>
      <c r="H48" s="102"/>
      <c r="I48" s="102"/>
      <c r="J48" s="102"/>
    </row>
    <row r="49" spans="1:10" ht="32" customHeight="1" x14ac:dyDescent="0.2">
      <c r="A49" s="102" t="s">
        <v>840</v>
      </c>
      <c r="B49" s="102"/>
      <c r="C49" s="102"/>
      <c r="D49" s="102"/>
      <c r="E49" s="102"/>
      <c r="F49" s="102"/>
      <c r="G49" s="102"/>
      <c r="H49" s="102"/>
      <c r="I49" s="102"/>
      <c r="J49" s="102"/>
    </row>
    <row r="51" spans="1:10" ht="20" customHeight="1" x14ac:dyDescent="0.2">
      <c r="A51" s="7" t="s">
        <v>841</v>
      </c>
    </row>
    <row r="52" spans="1:10" ht="18" customHeight="1" x14ac:dyDescent="0.2">
      <c r="A52" s="102" t="s">
        <v>842</v>
      </c>
      <c r="B52" s="102"/>
      <c r="C52" s="102"/>
      <c r="D52" s="102"/>
      <c r="E52" s="102"/>
      <c r="F52" s="102"/>
      <c r="G52" s="102"/>
      <c r="H52" s="102"/>
      <c r="I52" s="102"/>
      <c r="J52" s="102"/>
    </row>
    <row r="53" spans="1:10" ht="32" customHeight="1" x14ac:dyDescent="0.2">
      <c r="A53" s="102" t="s">
        <v>843</v>
      </c>
      <c r="B53" s="102"/>
      <c r="C53" s="102"/>
      <c r="D53" s="102"/>
      <c r="E53" s="102"/>
      <c r="F53" s="102"/>
      <c r="G53" s="102"/>
      <c r="H53" s="102"/>
      <c r="I53" s="102"/>
      <c r="J53" s="102"/>
    </row>
    <row r="55" spans="1:10" ht="22" customHeight="1" x14ac:dyDescent="0.2">
      <c r="A55" s="2" t="s">
        <v>1519</v>
      </c>
      <c r="F55" s="11" t="s">
        <v>1272</v>
      </c>
    </row>
    <row r="56" spans="1:10" ht="20" customHeight="1" x14ac:dyDescent="0.2">
      <c r="A56" s="7" t="s">
        <v>844</v>
      </c>
      <c r="F56" s="9" t="s">
        <v>846</v>
      </c>
      <c r="G56" s="9" t="s">
        <v>1273</v>
      </c>
    </row>
    <row r="57" spans="1:10" ht="15" customHeight="1" x14ac:dyDescent="0.2">
      <c r="A57" s="106"/>
      <c r="B57" s="106"/>
      <c r="C57" s="106"/>
      <c r="D57" s="106"/>
      <c r="E57" s="106"/>
      <c r="F57" s="106"/>
      <c r="G57" s="106"/>
      <c r="H57" s="106"/>
      <c r="I57" s="106"/>
      <c r="J57" s="106"/>
    </row>
    <row r="58" spans="1:10" x14ac:dyDescent="0.2">
      <c r="F58" t="s">
        <v>852</v>
      </c>
      <c r="G58">
        <v>20</v>
      </c>
    </row>
    <row r="59" spans="1:10" ht="20" customHeight="1" x14ac:dyDescent="0.2">
      <c r="A59" s="7" t="s">
        <v>845</v>
      </c>
      <c r="F59" t="s">
        <v>856</v>
      </c>
      <c r="G59">
        <v>8</v>
      </c>
    </row>
    <row r="60" spans="1:10" ht="28" customHeight="1" x14ac:dyDescent="0.2">
      <c r="A60" s="3" t="s">
        <v>846</v>
      </c>
      <c r="B60" s="3" t="s">
        <v>847</v>
      </c>
      <c r="C60" s="3" t="s">
        <v>2</v>
      </c>
      <c r="D60" s="3" t="s">
        <v>848</v>
      </c>
      <c r="F60" t="s">
        <v>1274</v>
      </c>
      <c r="G60">
        <v>2</v>
      </c>
    </row>
    <row r="61" spans="1:10" ht="32" customHeight="1" x14ac:dyDescent="0.2">
      <c r="A61" s="4" t="s">
        <v>849</v>
      </c>
      <c r="B61" s="4" t="s">
        <v>850</v>
      </c>
      <c r="C61" s="4" t="s">
        <v>782</v>
      </c>
      <c r="D61" s="4" t="s">
        <v>851</v>
      </c>
    </row>
    <row r="62" spans="1:10" ht="18" customHeight="1" x14ac:dyDescent="0.2">
      <c r="A62" s="5" t="s">
        <v>852</v>
      </c>
      <c r="B62" s="5" t="s">
        <v>853</v>
      </c>
      <c r="C62" s="5" t="s">
        <v>854</v>
      </c>
      <c r="D62" s="5" t="s">
        <v>855</v>
      </c>
    </row>
    <row r="63" spans="1:10" ht="18" customHeight="1" x14ac:dyDescent="0.2">
      <c r="A63" s="4" t="s">
        <v>856</v>
      </c>
      <c r="B63" s="4" t="s">
        <v>857</v>
      </c>
      <c r="C63" s="4" t="s">
        <v>298</v>
      </c>
      <c r="D63" s="4" t="s">
        <v>858</v>
      </c>
    </row>
    <row r="64" spans="1:10" ht="18" customHeight="1" x14ac:dyDescent="0.2">
      <c r="A64" s="5" t="s">
        <v>626</v>
      </c>
      <c r="B64" s="5" t="s">
        <v>859</v>
      </c>
      <c r="C64" s="5" t="s">
        <v>628</v>
      </c>
      <c r="D64" s="5" t="s">
        <v>860</v>
      </c>
    </row>
    <row r="65" spans="1:10" ht="32" customHeight="1" x14ac:dyDescent="0.2">
      <c r="A65" s="4" t="s">
        <v>378</v>
      </c>
      <c r="B65" s="4" t="s">
        <v>861</v>
      </c>
      <c r="C65" s="4" t="s">
        <v>862</v>
      </c>
      <c r="D65" s="4" t="s">
        <v>863</v>
      </c>
    </row>
    <row r="66" spans="1:10" ht="18" customHeight="1" x14ac:dyDescent="0.2">
      <c r="A66" s="5" t="s">
        <v>791</v>
      </c>
      <c r="B66" s="5" t="s">
        <v>864</v>
      </c>
      <c r="C66" s="5" t="s">
        <v>865</v>
      </c>
      <c r="D66" s="5" t="s">
        <v>866</v>
      </c>
    </row>
    <row r="68" spans="1:10" ht="20" customHeight="1" x14ac:dyDescent="0.2">
      <c r="A68" s="7" t="s">
        <v>867</v>
      </c>
    </row>
    <row r="69" spans="1:10" ht="18" customHeight="1" x14ac:dyDescent="0.2">
      <c r="A69" s="102" t="s">
        <v>868</v>
      </c>
      <c r="B69" s="102"/>
      <c r="C69" s="102"/>
      <c r="D69" s="102"/>
      <c r="E69" s="102"/>
      <c r="F69" s="102"/>
      <c r="G69" s="102"/>
      <c r="H69" s="102"/>
      <c r="I69" s="102"/>
      <c r="J69" s="102"/>
    </row>
    <row r="70" spans="1:10" ht="18" customHeight="1" x14ac:dyDescent="0.2">
      <c r="A70" s="102" t="s">
        <v>869</v>
      </c>
      <c r="B70" s="102"/>
      <c r="C70" s="102"/>
      <c r="D70" s="102"/>
      <c r="E70" s="102"/>
      <c r="F70" s="102"/>
      <c r="G70" s="102"/>
      <c r="H70" s="102"/>
      <c r="I70" s="102"/>
      <c r="J70" s="102"/>
    </row>
    <row r="71" spans="1:10" ht="18" customHeight="1" x14ac:dyDescent="0.2">
      <c r="A71" s="102" t="s">
        <v>870</v>
      </c>
      <c r="B71" s="102"/>
      <c r="C71" s="102"/>
      <c r="D71" s="102"/>
      <c r="E71" s="102"/>
      <c r="F71" s="102"/>
      <c r="G71" s="102"/>
      <c r="H71" s="102"/>
      <c r="I71" s="102"/>
      <c r="J71" s="102"/>
    </row>
    <row r="72" spans="1:10" ht="18" customHeight="1" x14ac:dyDescent="0.2">
      <c r="A72" s="102" t="s">
        <v>871</v>
      </c>
      <c r="B72" s="102"/>
      <c r="C72" s="102"/>
      <c r="D72" s="102"/>
      <c r="E72" s="102"/>
      <c r="F72" s="102"/>
      <c r="G72" s="102"/>
      <c r="H72" s="102"/>
      <c r="I72" s="102"/>
      <c r="J72" s="102"/>
    </row>
    <row r="73" spans="1:10" ht="18" customHeight="1" x14ac:dyDescent="0.2">
      <c r="A73" s="102" t="s">
        <v>872</v>
      </c>
      <c r="B73" s="102"/>
      <c r="C73" s="102"/>
      <c r="D73" s="102"/>
      <c r="E73" s="102"/>
      <c r="F73" s="102"/>
      <c r="G73" s="102"/>
      <c r="H73" s="102"/>
      <c r="I73" s="102"/>
      <c r="J73" s="102"/>
    </row>
    <row r="74" spans="1:10" ht="18" customHeight="1" x14ac:dyDescent="0.2">
      <c r="A74" s="102" t="s">
        <v>873</v>
      </c>
      <c r="B74" s="102"/>
      <c r="C74" s="102"/>
      <c r="D74" s="102"/>
      <c r="E74" s="102"/>
      <c r="F74" s="102"/>
      <c r="G74" s="102"/>
      <c r="H74" s="102"/>
      <c r="I74" s="102"/>
      <c r="J74" s="102"/>
    </row>
    <row r="76" spans="1:10" ht="20" customHeight="1" x14ac:dyDescent="0.2">
      <c r="A76" s="7" t="s">
        <v>874</v>
      </c>
    </row>
    <row r="77" spans="1:10" ht="18" customHeight="1" x14ac:dyDescent="0.2">
      <c r="A77" s="102" t="s">
        <v>875</v>
      </c>
      <c r="B77" s="102"/>
      <c r="C77" s="102"/>
      <c r="D77" s="102"/>
      <c r="E77" s="102"/>
      <c r="F77" s="102"/>
      <c r="G77" s="102"/>
      <c r="H77" s="102"/>
      <c r="I77" s="102"/>
      <c r="J77" s="102"/>
    </row>
    <row r="78" spans="1:10" ht="18" customHeight="1" x14ac:dyDescent="0.2">
      <c r="A78" s="102" t="s">
        <v>876</v>
      </c>
      <c r="B78" s="102"/>
      <c r="C78" s="102"/>
      <c r="D78" s="102"/>
      <c r="E78" s="102"/>
      <c r="F78" s="102"/>
      <c r="G78" s="102"/>
      <c r="H78" s="102"/>
      <c r="I78" s="102"/>
      <c r="J78" s="102"/>
    </row>
    <row r="79" spans="1:10" ht="18" customHeight="1" x14ac:dyDescent="0.2">
      <c r="A79" s="102" t="s">
        <v>877</v>
      </c>
      <c r="B79" s="102"/>
      <c r="C79" s="102"/>
      <c r="D79" s="102"/>
      <c r="E79" s="102"/>
      <c r="F79" s="102"/>
      <c r="G79" s="102"/>
      <c r="H79" s="102"/>
      <c r="I79" s="102"/>
      <c r="J79" s="102"/>
    </row>
    <row r="80" spans="1:10" ht="18" customHeight="1" x14ac:dyDescent="0.2">
      <c r="A80" s="102" t="s">
        <v>878</v>
      </c>
      <c r="B80" s="102"/>
      <c r="C80" s="102"/>
      <c r="D80" s="102"/>
      <c r="E80" s="102"/>
      <c r="F80" s="102"/>
      <c r="G80" s="102"/>
      <c r="H80" s="102"/>
      <c r="I80" s="102"/>
      <c r="J80" s="102"/>
    </row>
    <row r="82" spans="1:10" ht="22" customHeight="1" x14ac:dyDescent="0.2">
      <c r="A82" s="2" t="s">
        <v>1520</v>
      </c>
      <c r="F82" s="11" t="s">
        <v>1275</v>
      </c>
    </row>
    <row r="83" spans="1:10" ht="30" customHeight="1" x14ac:dyDescent="0.2">
      <c r="A83" s="7" t="s">
        <v>879</v>
      </c>
      <c r="F83" s="107" t="s">
        <v>1276</v>
      </c>
      <c r="G83" s="108"/>
      <c r="H83" s="111" t="s">
        <v>1277</v>
      </c>
      <c r="I83" s="112"/>
    </row>
    <row r="84" spans="1:10" ht="30" customHeight="1" x14ac:dyDescent="0.2">
      <c r="A84" s="6" t="s">
        <v>880</v>
      </c>
      <c r="B84" s="6"/>
      <c r="C84" s="6"/>
      <c r="D84" s="6"/>
      <c r="E84" s="6"/>
      <c r="F84" s="109"/>
      <c r="G84" s="110"/>
      <c r="H84" s="113"/>
      <c r="I84" s="114"/>
      <c r="J84" s="6"/>
    </row>
    <row r="85" spans="1:10" ht="30" customHeight="1" x14ac:dyDescent="0.2">
      <c r="A85" s="6" t="s">
        <v>881</v>
      </c>
      <c r="F85" s="115" t="s">
        <v>1278</v>
      </c>
      <c r="G85" s="116"/>
      <c r="H85" s="119" t="s">
        <v>1279</v>
      </c>
      <c r="I85" s="120"/>
    </row>
    <row r="86" spans="1:10" ht="30" customHeight="1" x14ac:dyDescent="0.2">
      <c r="A86" s="6" t="s">
        <v>882</v>
      </c>
      <c r="F86" s="117"/>
      <c r="G86" s="118"/>
      <c r="H86" s="121"/>
      <c r="I86" s="122"/>
    </row>
    <row r="87" spans="1:10" ht="18" customHeight="1" x14ac:dyDescent="0.2">
      <c r="A87" s="102" t="s">
        <v>883</v>
      </c>
      <c r="B87" s="102"/>
      <c r="C87" s="102"/>
      <c r="D87" s="102"/>
      <c r="E87" s="102"/>
      <c r="F87" s="102"/>
      <c r="G87" s="102"/>
      <c r="H87" s="102"/>
      <c r="I87" s="102"/>
      <c r="J87" s="102"/>
    </row>
    <row r="88" spans="1:10" ht="48" customHeight="1" x14ac:dyDescent="0.2">
      <c r="A88" s="102" t="s">
        <v>884</v>
      </c>
      <c r="B88" s="102"/>
      <c r="C88" s="102"/>
      <c r="D88" s="102"/>
      <c r="E88" s="102"/>
      <c r="F88" s="102"/>
      <c r="G88" s="102"/>
      <c r="H88" s="102"/>
      <c r="I88" s="102"/>
      <c r="J88" s="102"/>
    </row>
    <row r="89" spans="1:10" ht="18" customHeight="1" x14ac:dyDescent="0.2">
      <c r="A89" s="102" t="s">
        <v>885</v>
      </c>
      <c r="B89" s="102"/>
      <c r="C89" s="102"/>
      <c r="D89" s="102"/>
      <c r="E89" s="102"/>
      <c r="F89" s="102"/>
      <c r="G89" s="102"/>
      <c r="H89" s="102"/>
      <c r="I89" s="102"/>
      <c r="J89" s="102"/>
    </row>
    <row r="91" spans="1:10" ht="20" customHeight="1" x14ac:dyDescent="0.2">
      <c r="A91" s="7" t="s">
        <v>886</v>
      </c>
    </row>
    <row r="92" spans="1:10" ht="28" customHeight="1" x14ac:dyDescent="0.2">
      <c r="A92" s="3" t="s">
        <v>887</v>
      </c>
      <c r="B92" s="3" t="s">
        <v>31</v>
      </c>
    </row>
    <row r="93" spans="1:10" ht="18" customHeight="1" x14ac:dyDescent="0.2">
      <c r="A93" s="4" t="s">
        <v>888</v>
      </c>
      <c r="B93" s="4" t="s">
        <v>889</v>
      </c>
    </row>
    <row r="94" spans="1:10" ht="18" customHeight="1" x14ac:dyDescent="0.2">
      <c r="A94" s="5" t="s">
        <v>890</v>
      </c>
      <c r="B94" s="5" t="s">
        <v>891</v>
      </c>
    </row>
    <row r="95" spans="1:10" ht="18" customHeight="1" x14ac:dyDescent="0.2">
      <c r="A95" s="4" t="s">
        <v>892</v>
      </c>
      <c r="B95" s="4" t="s">
        <v>893</v>
      </c>
    </row>
    <row r="96" spans="1:10" ht="18" customHeight="1" x14ac:dyDescent="0.2">
      <c r="A96" s="5" t="s">
        <v>894</v>
      </c>
      <c r="B96" s="5" t="s">
        <v>895</v>
      </c>
    </row>
    <row r="98" spans="1:10" ht="22" customHeight="1" x14ac:dyDescent="0.2">
      <c r="A98" s="2" t="s">
        <v>1521</v>
      </c>
      <c r="F98" s="11" t="s">
        <v>1294</v>
      </c>
    </row>
    <row r="99" spans="1:10" ht="32" customHeight="1" x14ac:dyDescent="0.2">
      <c r="A99" s="105" t="s">
        <v>896</v>
      </c>
      <c r="B99" s="105"/>
      <c r="C99" s="105"/>
      <c r="D99" s="105"/>
      <c r="E99" s="105"/>
      <c r="F99" s="105"/>
      <c r="G99" s="105"/>
      <c r="H99" s="105"/>
      <c r="I99" s="105"/>
      <c r="J99" s="105"/>
    </row>
    <row r="100" spans="1:10" x14ac:dyDescent="0.2">
      <c r="F100" t="s">
        <v>1295</v>
      </c>
      <c r="G100" s="23">
        <v>33</v>
      </c>
    </row>
    <row r="101" spans="1:10" ht="28" customHeight="1" x14ac:dyDescent="0.2">
      <c r="A101" s="3" t="s">
        <v>3</v>
      </c>
      <c r="B101" s="3" t="s">
        <v>897</v>
      </c>
      <c r="C101" s="3" t="s">
        <v>898</v>
      </c>
      <c r="F101" t="s">
        <v>1296</v>
      </c>
      <c r="G101" s="23">
        <v>50</v>
      </c>
    </row>
    <row r="102" spans="1:10" ht="32" customHeight="1" x14ac:dyDescent="0.2">
      <c r="A102" s="4" t="s">
        <v>782</v>
      </c>
      <c r="B102" s="4" t="s">
        <v>899</v>
      </c>
      <c r="C102" s="4" t="s">
        <v>900</v>
      </c>
      <c r="F102" t="s">
        <v>1297</v>
      </c>
      <c r="G102" s="23">
        <v>25</v>
      </c>
    </row>
    <row r="103" spans="1:10" ht="32" customHeight="1" x14ac:dyDescent="0.2">
      <c r="A103" s="5" t="s">
        <v>298</v>
      </c>
      <c r="B103" s="5" t="s">
        <v>901</v>
      </c>
      <c r="C103" s="5" t="s">
        <v>902</v>
      </c>
      <c r="F103" t="s">
        <v>1298</v>
      </c>
      <c r="G103" s="23">
        <v>30</v>
      </c>
    </row>
    <row r="104" spans="1:10" ht="32" customHeight="1" x14ac:dyDescent="0.2">
      <c r="A104" s="4" t="s">
        <v>36</v>
      </c>
      <c r="B104" s="4" t="s">
        <v>903</v>
      </c>
      <c r="C104" s="4" t="s">
        <v>904</v>
      </c>
      <c r="F104" t="s">
        <v>1299</v>
      </c>
      <c r="G104" s="23">
        <v>40</v>
      </c>
    </row>
    <row r="105" spans="1:10" ht="32" customHeight="1" x14ac:dyDescent="0.2">
      <c r="A105" s="5" t="s">
        <v>39</v>
      </c>
      <c r="B105" s="5" t="s">
        <v>905</v>
      </c>
      <c r="C105" s="5" t="s">
        <v>906</v>
      </c>
      <c r="F105" t="s">
        <v>1300</v>
      </c>
      <c r="G105" s="23">
        <v>20</v>
      </c>
    </row>
    <row r="106" spans="1:10" ht="18" customHeight="1" x14ac:dyDescent="0.2">
      <c r="A106" s="4" t="s">
        <v>907</v>
      </c>
      <c r="B106" s="4" t="s">
        <v>908</v>
      </c>
      <c r="C106" s="4" t="s">
        <v>909</v>
      </c>
    </row>
    <row r="107" spans="1:10" ht="32" customHeight="1" x14ac:dyDescent="0.2">
      <c r="A107" s="5" t="s">
        <v>910</v>
      </c>
      <c r="B107" s="5" t="s">
        <v>911</v>
      </c>
      <c r="C107" s="5" t="s">
        <v>912</v>
      </c>
    </row>
    <row r="109" spans="1:10" ht="32" customHeight="1" x14ac:dyDescent="0.2">
      <c r="A109" s="105" t="s">
        <v>913</v>
      </c>
      <c r="B109" s="105"/>
      <c r="C109" s="105"/>
      <c r="D109" s="105"/>
      <c r="E109" s="105"/>
      <c r="F109" s="105"/>
      <c r="G109" s="105"/>
      <c r="H109" s="105"/>
      <c r="I109" s="105"/>
      <c r="J109" s="105"/>
    </row>
    <row r="111" spans="1:10" ht="22" customHeight="1" x14ac:dyDescent="0.2">
      <c r="A111" s="2" t="s">
        <v>1522</v>
      </c>
    </row>
    <row r="112" spans="1:10" ht="18" customHeight="1" x14ac:dyDescent="0.2">
      <c r="A112" s="105" t="s">
        <v>914</v>
      </c>
      <c r="B112" s="105"/>
      <c r="C112" s="105"/>
      <c r="D112" s="105"/>
      <c r="E112" s="105"/>
      <c r="F112" s="105"/>
      <c r="G112" s="105"/>
      <c r="H112" s="105"/>
      <c r="I112" s="105"/>
      <c r="J112" s="105"/>
    </row>
    <row r="114" spans="1:10" ht="20" customHeight="1" x14ac:dyDescent="0.2">
      <c r="A114" s="7" t="s">
        <v>915</v>
      </c>
    </row>
    <row r="115" spans="1:10" ht="18" customHeight="1" x14ac:dyDescent="0.2">
      <c r="A115" s="102" t="s">
        <v>916</v>
      </c>
      <c r="B115" s="102"/>
      <c r="C115" s="102"/>
      <c r="D115" s="102"/>
      <c r="E115" s="102"/>
      <c r="F115" s="102"/>
      <c r="G115" s="102"/>
      <c r="H115" s="102"/>
      <c r="I115" s="102"/>
      <c r="J115" s="102"/>
    </row>
    <row r="116" spans="1:10" ht="18" customHeight="1" x14ac:dyDescent="0.2">
      <c r="A116" s="102" t="s">
        <v>917</v>
      </c>
      <c r="B116" s="102"/>
      <c r="C116" s="102"/>
      <c r="D116" s="102"/>
      <c r="E116" s="102"/>
      <c r="F116" s="102"/>
      <c r="G116" s="102"/>
      <c r="H116" s="102"/>
      <c r="I116" s="102"/>
      <c r="J116" s="102"/>
    </row>
    <row r="117" spans="1:10" ht="18" customHeight="1" x14ac:dyDescent="0.2">
      <c r="A117" s="102" t="s">
        <v>918</v>
      </c>
      <c r="B117" s="102"/>
      <c r="C117" s="102"/>
      <c r="D117" s="102"/>
      <c r="E117" s="102"/>
      <c r="F117" s="102"/>
      <c r="G117" s="102"/>
      <c r="H117" s="102"/>
      <c r="I117" s="102"/>
      <c r="J117" s="102"/>
    </row>
    <row r="118" spans="1:10" ht="18" customHeight="1" x14ac:dyDescent="0.2">
      <c r="A118" s="102" t="s">
        <v>919</v>
      </c>
      <c r="B118" s="102"/>
      <c r="C118" s="102"/>
      <c r="D118" s="102"/>
      <c r="E118" s="102"/>
      <c r="F118" s="102"/>
      <c r="G118" s="102"/>
      <c r="H118" s="102"/>
      <c r="I118" s="102"/>
      <c r="J118" s="102"/>
    </row>
    <row r="120" spans="1:10" ht="20" customHeight="1" x14ac:dyDescent="0.2">
      <c r="A120" s="7" t="s">
        <v>396</v>
      </c>
    </row>
    <row r="121" spans="1:10" ht="18" customHeight="1" x14ac:dyDescent="0.2">
      <c r="A121" s="102" t="s">
        <v>920</v>
      </c>
      <c r="B121" s="102"/>
      <c r="C121" s="102"/>
      <c r="D121" s="102"/>
      <c r="E121" s="102"/>
      <c r="F121" s="102"/>
      <c r="G121" s="102"/>
      <c r="H121" s="102"/>
      <c r="I121" s="102"/>
      <c r="J121" s="102"/>
    </row>
    <row r="122" spans="1:10" ht="18" customHeight="1" x14ac:dyDescent="0.2">
      <c r="A122" s="102" t="s">
        <v>921</v>
      </c>
      <c r="B122" s="102"/>
      <c r="C122" s="102"/>
      <c r="D122" s="102"/>
      <c r="E122" s="102"/>
      <c r="F122" s="102"/>
      <c r="G122" s="102"/>
      <c r="H122" s="102"/>
      <c r="I122" s="102"/>
      <c r="J122" s="102"/>
    </row>
    <row r="123" spans="1:10" ht="18" customHeight="1" x14ac:dyDescent="0.2">
      <c r="A123" s="102" t="s">
        <v>922</v>
      </c>
      <c r="B123" s="102"/>
      <c r="C123" s="102"/>
      <c r="D123" s="102"/>
      <c r="E123" s="102"/>
      <c r="F123" s="102"/>
      <c r="G123" s="102"/>
      <c r="H123" s="102"/>
      <c r="I123" s="102"/>
      <c r="J123" s="102"/>
    </row>
    <row r="124" spans="1:10" ht="18" customHeight="1" x14ac:dyDescent="0.2">
      <c r="A124" s="102" t="s">
        <v>923</v>
      </c>
      <c r="B124" s="102"/>
      <c r="C124" s="102"/>
      <c r="D124" s="102"/>
      <c r="E124" s="102"/>
      <c r="F124" s="102"/>
      <c r="G124" s="102"/>
      <c r="H124" s="102"/>
      <c r="I124" s="102"/>
      <c r="J124" s="102"/>
    </row>
    <row r="126" spans="1:10" ht="20" customHeight="1" x14ac:dyDescent="0.2">
      <c r="A126" s="7" t="s">
        <v>924</v>
      </c>
    </row>
    <row r="127" spans="1:10" ht="18" customHeight="1" x14ac:dyDescent="0.2">
      <c r="A127" s="102" t="s">
        <v>925</v>
      </c>
      <c r="B127" s="102"/>
      <c r="C127" s="102"/>
      <c r="D127" s="102"/>
      <c r="E127" s="102"/>
      <c r="F127" s="102"/>
      <c r="G127" s="102"/>
      <c r="H127" s="102"/>
      <c r="I127" s="102"/>
      <c r="J127" s="102"/>
    </row>
    <row r="128" spans="1:10" ht="18" customHeight="1" x14ac:dyDescent="0.2">
      <c r="A128" s="102" t="s">
        <v>926</v>
      </c>
      <c r="B128" s="102"/>
      <c r="C128" s="102"/>
      <c r="D128" s="102"/>
      <c r="E128" s="102"/>
      <c r="F128" s="102"/>
      <c r="G128" s="102"/>
      <c r="H128" s="102"/>
      <c r="I128" s="102"/>
      <c r="J128" s="102"/>
    </row>
    <row r="129" spans="1:10" ht="18" customHeight="1" x14ac:dyDescent="0.2">
      <c r="A129" s="102" t="s">
        <v>927</v>
      </c>
      <c r="B129" s="102"/>
      <c r="C129" s="102"/>
      <c r="D129" s="102"/>
      <c r="E129" s="102"/>
      <c r="F129" s="102"/>
      <c r="G129" s="102"/>
      <c r="H129" s="102"/>
      <c r="I129" s="102"/>
      <c r="J129" s="102"/>
    </row>
    <row r="130" spans="1:10" ht="18" customHeight="1" x14ac:dyDescent="0.2">
      <c r="A130" s="102" t="s">
        <v>928</v>
      </c>
      <c r="B130" s="102"/>
      <c r="C130" s="102"/>
      <c r="D130" s="102"/>
      <c r="E130" s="102"/>
      <c r="F130" s="102"/>
      <c r="G130" s="102"/>
      <c r="H130" s="102"/>
      <c r="I130" s="102"/>
      <c r="J130" s="102"/>
    </row>
    <row r="132" spans="1:10" ht="20" customHeight="1" x14ac:dyDescent="0.2">
      <c r="A132" s="7" t="s">
        <v>929</v>
      </c>
    </row>
    <row r="133" spans="1:10" ht="18" customHeight="1" x14ac:dyDescent="0.2">
      <c r="A133" s="102" t="s">
        <v>930</v>
      </c>
      <c r="B133" s="102"/>
      <c r="C133" s="102"/>
      <c r="D133" s="102"/>
      <c r="E133" s="102"/>
      <c r="F133" s="102"/>
      <c r="G133" s="102"/>
      <c r="H133" s="102"/>
      <c r="I133" s="102"/>
      <c r="J133" s="102"/>
    </row>
    <row r="134" spans="1:10" ht="18" customHeight="1" x14ac:dyDescent="0.2">
      <c r="A134" s="102" t="s">
        <v>931</v>
      </c>
      <c r="B134" s="102"/>
      <c r="C134" s="102"/>
      <c r="D134" s="102"/>
      <c r="E134" s="102"/>
      <c r="F134" s="102"/>
      <c r="G134" s="102"/>
      <c r="H134" s="102"/>
      <c r="I134" s="102"/>
      <c r="J134" s="102"/>
    </row>
    <row r="135" spans="1:10" ht="18" customHeight="1" x14ac:dyDescent="0.2">
      <c r="A135" s="102" t="s">
        <v>932</v>
      </c>
      <c r="B135" s="102"/>
      <c r="C135" s="102"/>
      <c r="D135" s="102"/>
      <c r="E135" s="102"/>
      <c r="F135" s="102"/>
      <c r="G135" s="102"/>
      <c r="H135" s="102"/>
      <c r="I135" s="102"/>
      <c r="J135" s="102"/>
    </row>
    <row r="136" spans="1:10" ht="18" customHeight="1" x14ac:dyDescent="0.2">
      <c r="A136" s="102" t="s">
        <v>933</v>
      </c>
      <c r="B136" s="102"/>
      <c r="C136" s="102"/>
      <c r="D136" s="102"/>
      <c r="E136" s="102"/>
      <c r="F136" s="102"/>
      <c r="G136" s="102"/>
      <c r="H136" s="102"/>
      <c r="I136" s="102"/>
      <c r="J136" s="102"/>
    </row>
    <row r="137" spans="1:10" ht="18" customHeight="1" x14ac:dyDescent="0.2">
      <c r="A137" s="102" t="s">
        <v>934</v>
      </c>
      <c r="B137" s="102"/>
      <c r="C137" s="102"/>
      <c r="D137" s="102"/>
      <c r="E137" s="102"/>
      <c r="F137" s="102"/>
      <c r="G137" s="102"/>
      <c r="H137" s="102"/>
      <c r="I137" s="102"/>
      <c r="J137" s="102"/>
    </row>
    <row r="253" spans="1:3" x14ac:dyDescent="0.2">
      <c r="A253">
        <v>6</v>
      </c>
      <c r="B253" t="s">
        <v>1371</v>
      </c>
      <c r="C253" t="s">
        <v>1546</v>
      </c>
    </row>
    <row r="254" spans="1:3" x14ac:dyDescent="0.2">
      <c r="A254">
        <v>7</v>
      </c>
      <c r="B254" t="s">
        <v>1372</v>
      </c>
      <c r="C254" t="s">
        <v>1373</v>
      </c>
    </row>
    <row r="256" spans="1:3" x14ac:dyDescent="0.2">
      <c r="A256" t="s">
        <v>1547</v>
      </c>
    </row>
    <row r="258" spans="1:3" x14ac:dyDescent="0.2">
      <c r="A258" t="s">
        <v>1374</v>
      </c>
      <c r="B258" t="s">
        <v>1375</v>
      </c>
      <c r="C258" t="s">
        <v>1376</v>
      </c>
    </row>
    <row r="259" spans="1:3" x14ac:dyDescent="0.2">
      <c r="A259" t="s">
        <v>1377</v>
      </c>
      <c r="B259" t="s">
        <v>1378</v>
      </c>
      <c r="C259" t="s">
        <v>1548</v>
      </c>
    </row>
    <row r="260" spans="1:3" x14ac:dyDescent="0.2">
      <c r="A260" t="s">
        <v>1379</v>
      </c>
      <c r="B260" t="s">
        <v>1380</v>
      </c>
      <c r="C260" t="s">
        <v>1381</v>
      </c>
    </row>
    <row r="261" spans="1:3" x14ac:dyDescent="0.2">
      <c r="A261" t="s">
        <v>1382</v>
      </c>
      <c r="B261" t="s">
        <v>1383</v>
      </c>
      <c r="C261" t="s">
        <v>1549</v>
      </c>
    </row>
    <row r="262" spans="1:3" x14ac:dyDescent="0.2">
      <c r="A262" t="s">
        <v>1384</v>
      </c>
      <c r="B262" t="s">
        <v>1385</v>
      </c>
      <c r="C262" t="s">
        <v>1386</v>
      </c>
    </row>
    <row r="263" spans="1:3" x14ac:dyDescent="0.2">
      <c r="A263" t="s">
        <v>1387</v>
      </c>
      <c r="B263" t="s">
        <v>1388</v>
      </c>
      <c r="C263" t="s">
        <v>1389</v>
      </c>
    </row>
    <row r="264" spans="1:3" x14ac:dyDescent="0.2">
      <c r="A264" t="s">
        <v>1390</v>
      </c>
      <c r="B264" t="s">
        <v>1391</v>
      </c>
      <c r="C264" t="s">
        <v>1392</v>
      </c>
    </row>
    <row r="265" spans="1:3" x14ac:dyDescent="0.2">
      <c r="A265" t="s">
        <v>1393</v>
      </c>
      <c r="B265" t="s">
        <v>1394</v>
      </c>
      <c r="C265" t="s">
        <v>1395</v>
      </c>
    </row>
  </sheetData>
  <mergeCells count="50">
    <mergeCell ref="A35:J35"/>
    <mergeCell ref="A26:J26"/>
    <mergeCell ref="A115:J115"/>
    <mergeCell ref="A69:J69"/>
    <mergeCell ref="A3:J3"/>
    <mergeCell ref="A71:J71"/>
    <mergeCell ref="A74:J74"/>
    <mergeCell ref="A89:J89"/>
    <mergeCell ref="A48:J48"/>
    <mergeCell ref="A6:J6"/>
    <mergeCell ref="F83:G83"/>
    <mergeCell ref="F84:G84"/>
    <mergeCell ref="H83:I83"/>
    <mergeCell ref="H84:I84"/>
    <mergeCell ref="F85:G85"/>
    <mergeCell ref="F86:G86"/>
    <mergeCell ref="H85:I85"/>
    <mergeCell ref="H86:I86"/>
    <mergeCell ref="A112:J112"/>
    <mergeCell ref="A53:J53"/>
    <mergeCell ref="A137:J137"/>
    <mergeCell ref="A78:J78"/>
    <mergeCell ref="A49:J49"/>
    <mergeCell ref="A121:J121"/>
    <mergeCell ref="A136:J136"/>
    <mergeCell ref="A117:J117"/>
    <mergeCell ref="A77:J77"/>
    <mergeCell ref="A73:J73"/>
    <mergeCell ref="A128:J128"/>
    <mergeCell ref="A133:J133"/>
    <mergeCell ref="A124:J124"/>
    <mergeCell ref="A127:J127"/>
    <mergeCell ref="A130:J130"/>
    <mergeCell ref="A135:J135"/>
    <mergeCell ref="A99:J99"/>
    <mergeCell ref="A80:J80"/>
    <mergeCell ref="A134:J134"/>
    <mergeCell ref="A87:J87"/>
    <mergeCell ref="A52:J52"/>
    <mergeCell ref="A129:J129"/>
    <mergeCell ref="A123:J123"/>
    <mergeCell ref="A88:J88"/>
    <mergeCell ref="A109:J109"/>
    <mergeCell ref="A122:J122"/>
    <mergeCell ref="A72:J72"/>
    <mergeCell ref="A118:J118"/>
    <mergeCell ref="A70:J70"/>
    <mergeCell ref="A116:J116"/>
    <mergeCell ref="A79:J79"/>
    <mergeCell ref="A57:J57"/>
  </mergeCells>
  <conditionalFormatting sqref="D20:D23">
    <cfRule type="containsText" dxfId="14" priority="1" operator="containsText" text="On-track">
      <formula>NOT(ISERROR(SEARCH("On-track",D20)))</formula>
    </cfRule>
    <cfRule type="containsText" dxfId="13" priority="2" operator="containsText" text="Planned">
      <formula>NOT(ISERROR(SEARCH("Planned",D20)))</formula>
    </cfRule>
    <cfRule type="containsText" dxfId="12" priority="3" operator="containsText" text="At risk">
      <formula>NOT(ISERROR(SEARCH("At risk",D20)))</formula>
    </cfRule>
    <cfRule type="containsText" dxfId="11" priority="4" operator="containsText" text="Off-track">
      <formula>NOT(ISERROR(SEARCH("Off-track",D20)))</formula>
    </cfRule>
    <cfRule type="containsText" dxfId="10" priority="5" operator="containsText" text="Met">
      <formula>NOT(ISERROR(SEARCH("Met",D20)))</formula>
    </cfRule>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6"/>
  <sheetViews>
    <sheetView zoomScale="92" zoomScaleNormal="85" workbookViewId="0">
      <selection activeCell="C17" sqref="C17"/>
    </sheetView>
  </sheetViews>
  <sheetFormatPr baseColWidth="10" defaultColWidth="8.83203125" defaultRowHeight="15" x14ac:dyDescent="0.2"/>
  <cols>
    <col min="1" max="1" width="35.83203125" customWidth="1"/>
    <col min="2" max="2" width="38.1640625" customWidth="1"/>
    <col min="3" max="3" width="52.1640625" customWidth="1"/>
    <col min="4" max="4" width="59.1640625" customWidth="1"/>
    <col min="5" max="5" width="11.6640625" customWidth="1"/>
    <col min="6" max="6" width="30" customWidth="1"/>
    <col min="7" max="7" width="11.6640625" customWidth="1"/>
    <col min="8" max="8" width="12.5" customWidth="1"/>
    <col min="9" max="9" width="11.33203125" customWidth="1"/>
    <col min="10" max="11" width="10.33203125" customWidth="1"/>
    <col min="12" max="12" width="11.33203125" customWidth="1"/>
  </cols>
  <sheetData>
    <row r="1" spans="1:8" ht="28" customHeight="1" x14ac:dyDescent="0.2">
      <c r="A1" s="62" t="s">
        <v>1557</v>
      </c>
      <c r="B1" s="63"/>
      <c r="C1" s="63"/>
      <c r="D1" s="63"/>
      <c r="E1" s="63"/>
      <c r="F1" s="63"/>
      <c r="G1" s="63"/>
      <c r="H1" s="63"/>
    </row>
    <row r="2" spans="1:8" x14ac:dyDescent="0.2">
      <c r="A2" s="63" t="s">
        <v>1558</v>
      </c>
      <c r="B2" s="63"/>
      <c r="C2" s="63"/>
      <c r="D2" s="63"/>
      <c r="E2" s="63"/>
      <c r="F2" s="63"/>
      <c r="G2" s="63"/>
      <c r="H2" s="63"/>
    </row>
    <row r="3" spans="1:8" ht="22" customHeight="1" x14ac:dyDescent="0.2">
      <c r="A3" s="63"/>
      <c r="B3" s="63"/>
      <c r="C3" s="63"/>
      <c r="D3" s="63"/>
      <c r="E3" s="63"/>
      <c r="F3" s="63"/>
      <c r="G3" s="63"/>
      <c r="H3" s="63"/>
    </row>
    <row r="4" spans="1:8" x14ac:dyDescent="0.2">
      <c r="A4" s="64" t="s">
        <v>1644</v>
      </c>
      <c r="B4" s="63"/>
      <c r="C4" s="63"/>
      <c r="D4" s="63"/>
      <c r="E4" s="63"/>
      <c r="F4" s="63"/>
      <c r="G4" s="63"/>
      <c r="H4" s="63"/>
    </row>
    <row r="5" spans="1:8" ht="22" customHeight="1" x14ac:dyDescent="0.2">
      <c r="A5" s="65" t="s">
        <v>1559</v>
      </c>
      <c r="B5" s="63"/>
      <c r="C5" s="63"/>
      <c r="D5" s="63"/>
      <c r="E5" s="63"/>
      <c r="F5" s="63"/>
      <c r="G5" s="63"/>
      <c r="H5" s="63"/>
    </row>
    <row r="6" spans="1:8" ht="32" customHeight="1" x14ac:dyDescent="0.2">
      <c r="A6" s="63"/>
      <c r="B6" s="63"/>
      <c r="C6" s="63"/>
      <c r="D6" s="63"/>
      <c r="E6" s="63"/>
      <c r="F6" s="63"/>
      <c r="G6" s="63"/>
      <c r="H6" s="63"/>
    </row>
    <row r="7" spans="1:8" ht="28" customHeight="1" thickBot="1" x14ac:dyDescent="0.25">
      <c r="A7" s="74" t="s">
        <v>1560</v>
      </c>
      <c r="B7" s="75" t="s">
        <v>1603</v>
      </c>
      <c r="C7" s="75" t="s">
        <v>1604</v>
      </c>
      <c r="D7" s="76" t="s">
        <v>1605</v>
      </c>
      <c r="E7" s="63"/>
      <c r="F7" s="63"/>
      <c r="G7" s="63"/>
      <c r="H7" s="63"/>
    </row>
    <row r="8" spans="1:8" ht="160" customHeight="1" x14ac:dyDescent="0.2">
      <c r="A8" s="77" t="s">
        <v>1613</v>
      </c>
      <c r="B8" s="78" t="s">
        <v>1614</v>
      </c>
      <c r="C8" s="78" t="s">
        <v>1615</v>
      </c>
      <c r="D8" s="79" t="s">
        <v>1616</v>
      </c>
      <c r="E8" s="63"/>
      <c r="F8" s="63"/>
      <c r="G8" s="63"/>
      <c r="H8" s="63"/>
    </row>
    <row r="9" spans="1:8" ht="140" customHeight="1" x14ac:dyDescent="0.2">
      <c r="A9" s="68" t="s">
        <v>1561</v>
      </c>
      <c r="B9" s="69" t="s">
        <v>1606</v>
      </c>
      <c r="C9" s="69" t="s">
        <v>1617</v>
      </c>
      <c r="D9" s="70" t="s">
        <v>1618</v>
      </c>
      <c r="E9" s="63"/>
      <c r="F9" s="63"/>
      <c r="G9" s="63"/>
      <c r="H9" s="63"/>
    </row>
    <row r="10" spans="1:8" ht="140" customHeight="1" x14ac:dyDescent="0.2">
      <c r="A10" s="80" t="s">
        <v>1639</v>
      </c>
      <c r="B10" s="81" t="s">
        <v>1640</v>
      </c>
      <c r="C10" s="81" t="s">
        <v>1641</v>
      </c>
      <c r="D10" s="82" t="s">
        <v>1642</v>
      </c>
      <c r="E10" s="63"/>
      <c r="F10" s="63"/>
      <c r="G10" s="63"/>
      <c r="H10" s="63"/>
    </row>
    <row r="11" spans="1:8" ht="140" customHeight="1" x14ac:dyDescent="0.2">
      <c r="A11" s="80" t="s">
        <v>1638</v>
      </c>
      <c r="B11" s="69" t="s">
        <v>1607</v>
      </c>
      <c r="C11" s="69" t="s">
        <v>1619</v>
      </c>
      <c r="D11" s="70" t="s">
        <v>1620</v>
      </c>
      <c r="E11" s="63"/>
      <c r="F11" s="63"/>
      <c r="G11" s="63"/>
      <c r="H11" s="63"/>
    </row>
    <row r="12" spans="1:8" ht="140" customHeight="1" x14ac:dyDescent="0.2">
      <c r="A12" s="68" t="s">
        <v>1621</v>
      </c>
      <c r="B12" s="69" t="s">
        <v>1608</v>
      </c>
      <c r="C12" s="69" t="s">
        <v>1612</v>
      </c>
      <c r="D12" s="70" t="s">
        <v>1633</v>
      </c>
      <c r="E12" s="63"/>
      <c r="F12" s="63"/>
      <c r="G12" s="63"/>
      <c r="H12" s="63"/>
    </row>
    <row r="13" spans="1:8" ht="140" customHeight="1" x14ac:dyDescent="0.2">
      <c r="A13" s="68" t="s">
        <v>1622</v>
      </c>
      <c r="B13" s="69" t="s">
        <v>1623</v>
      </c>
      <c r="C13" s="69" t="s">
        <v>1634</v>
      </c>
      <c r="D13" s="70" t="s">
        <v>1635</v>
      </c>
      <c r="E13" s="63"/>
      <c r="F13" s="63"/>
      <c r="G13" s="63"/>
      <c r="H13" s="63"/>
    </row>
    <row r="14" spans="1:8" ht="140" customHeight="1" x14ac:dyDescent="0.2">
      <c r="A14" s="80" t="s">
        <v>1643</v>
      </c>
      <c r="B14" s="69" t="s">
        <v>1609</v>
      </c>
      <c r="C14" s="81" t="s">
        <v>1636</v>
      </c>
      <c r="D14" s="82" t="s">
        <v>1637</v>
      </c>
      <c r="E14" s="63"/>
      <c r="F14" s="63"/>
      <c r="G14" s="63"/>
      <c r="H14" s="63"/>
    </row>
    <row r="15" spans="1:8" ht="140" customHeight="1" x14ac:dyDescent="0.2">
      <c r="A15" s="68" t="s">
        <v>1562</v>
      </c>
      <c r="B15" s="69" t="s">
        <v>1624</v>
      </c>
      <c r="C15" s="69" t="s">
        <v>1625</v>
      </c>
      <c r="D15" s="70" t="s">
        <v>1626</v>
      </c>
      <c r="E15" s="63"/>
      <c r="F15" s="63"/>
      <c r="G15" s="63"/>
      <c r="H15" s="63"/>
    </row>
    <row r="16" spans="1:8" ht="140" customHeight="1" x14ac:dyDescent="0.2">
      <c r="A16" s="68" t="s">
        <v>473</v>
      </c>
      <c r="B16" s="69" t="s">
        <v>1610</v>
      </c>
      <c r="C16" s="69" t="s">
        <v>1612</v>
      </c>
      <c r="D16" s="70" t="s">
        <v>1627</v>
      </c>
      <c r="E16" s="63"/>
      <c r="F16" s="63"/>
      <c r="G16" s="63"/>
      <c r="H16" s="63"/>
    </row>
    <row r="17" spans="1:8" ht="140" customHeight="1" x14ac:dyDescent="0.2">
      <c r="A17" s="68" t="s">
        <v>1563</v>
      </c>
      <c r="B17" s="69" t="s">
        <v>1628</v>
      </c>
      <c r="C17" s="69" t="s">
        <v>1612</v>
      </c>
      <c r="D17" s="70" t="s">
        <v>1629</v>
      </c>
      <c r="E17" s="63"/>
      <c r="F17" s="63"/>
      <c r="G17" s="63"/>
      <c r="H17" s="63"/>
    </row>
    <row r="18" spans="1:8" ht="140" customHeight="1" x14ac:dyDescent="0.2">
      <c r="A18" s="71" t="s">
        <v>1630</v>
      </c>
      <c r="B18" s="72" t="s">
        <v>1611</v>
      </c>
      <c r="C18" s="72" t="s">
        <v>1631</v>
      </c>
      <c r="D18" s="73" t="s">
        <v>1632</v>
      </c>
      <c r="E18" s="63"/>
      <c r="F18" s="63"/>
      <c r="G18" s="63"/>
      <c r="H18" s="63"/>
    </row>
    <row r="19" spans="1:8" ht="32" customHeight="1" x14ac:dyDescent="0.2">
      <c r="A19" s="63"/>
      <c r="B19" s="63"/>
      <c r="C19" s="63"/>
      <c r="D19" s="63"/>
      <c r="E19" s="63"/>
      <c r="F19" s="63"/>
      <c r="G19" s="63"/>
      <c r="H19" s="63"/>
    </row>
    <row r="20" spans="1:8" ht="32" customHeight="1" x14ac:dyDescent="0.2">
      <c r="A20" s="64" t="s">
        <v>1564</v>
      </c>
      <c r="B20" s="63"/>
      <c r="C20" s="63"/>
      <c r="D20" s="63"/>
      <c r="E20" s="63"/>
      <c r="F20" s="63"/>
      <c r="G20" s="63"/>
      <c r="H20" s="63"/>
    </row>
    <row r="21" spans="1:8" ht="32" customHeight="1" x14ac:dyDescent="0.2">
      <c r="A21" s="65" t="s">
        <v>1565</v>
      </c>
      <c r="B21" s="63"/>
      <c r="C21" s="63"/>
      <c r="D21" s="63"/>
      <c r="E21" s="63"/>
      <c r="F21" s="63"/>
      <c r="G21" s="63"/>
      <c r="H21" s="63"/>
    </row>
    <row r="22" spans="1:8" ht="18" customHeight="1" x14ac:dyDescent="0.2">
      <c r="A22" s="63"/>
      <c r="B22" s="63"/>
      <c r="C22" s="63"/>
      <c r="D22" s="63"/>
      <c r="E22" s="63"/>
      <c r="F22" s="63"/>
      <c r="G22" s="63"/>
      <c r="H22" s="63"/>
    </row>
    <row r="23" spans="1:8" ht="48" customHeight="1" x14ac:dyDescent="0.2">
      <c r="A23" s="66" t="s">
        <v>61</v>
      </c>
      <c r="B23" s="66" t="s">
        <v>1396</v>
      </c>
      <c r="C23" s="66"/>
      <c r="D23" s="66"/>
      <c r="E23" s="66" t="s">
        <v>1369</v>
      </c>
      <c r="F23" s="66" t="s">
        <v>1566</v>
      </c>
      <c r="G23" s="66" t="s">
        <v>1440</v>
      </c>
      <c r="H23" s="66" t="s">
        <v>65</v>
      </c>
    </row>
    <row r="24" spans="1:8" ht="32" customHeight="1" x14ac:dyDescent="0.2">
      <c r="A24" s="63" t="s">
        <v>66</v>
      </c>
      <c r="B24" s="63" t="s">
        <v>67</v>
      </c>
      <c r="C24" s="63"/>
      <c r="D24" s="63"/>
      <c r="E24" s="63" t="s">
        <v>1567</v>
      </c>
      <c r="F24" s="63" t="s">
        <v>1568</v>
      </c>
      <c r="G24" s="67">
        <v>0.05</v>
      </c>
      <c r="H24" s="63" t="s">
        <v>63</v>
      </c>
    </row>
    <row r="25" spans="1:8" ht="32" customHeight="1" x14ac:dyDescent="0.2">
      <c r="A25" s="63" t="s">
        <v>69</v>
      </c>
      <c r="B25" s="63" t="s">
        <v>1569</v>
      </c>
      <c r="C25" s="63"/>
      <c r="D25" s="63"/>
      <c r="E25" s="63" t="s">
        <v>1567</v>
      </c>
      <c r="F25" s="63" t="s">
        <v>1570</v>
      </c>
      <c r="G25" s="67">
        <v>0.1</v>
      </c>
      <c r="H25" s="63" t="s">
        <v>63</v>
      </c>
    </row>
    <row r="26" spans="1:8" ht="18" customHeight="1" x14ac:dyDescent="0.2">
      <c r="A26" s="63" t="s">
        <v>71</v>
      </c>
      <c r="B26" s="63" t="s">
        <v>1444</v>
      </c>
      <c r="C26" s="63"/>
      <c r="D26" s="63"/>
      <c r="E26" s="63" t="s">
        <v>1567</v>
      </c>
      <c r="F26" s="63" t="s">
        <v>1571</v>
      </c>
      <c r="G26" s="67">
        <v>0.15</v>
      </c>
      <c r="H26" s="63" t="s">
        <v>63</v>
      </c>
    </row>
    <row r="27" spans="1:8" ht="18" customHeight="1" x14ac:dyDescent="0.2">
      <c r="A27" s="63" t="s">
        <v>74</v>
      </c>
      <c r="B27" s="63" t="s">
        <v>742</v>
      </c>
      <c r="C27" s="63"/>
      <c r="D27" s="63"/>
      <c r="E27" s="63" t="s">
        <v>1567</v>
      </c>
      <c r="F27" s="63" t="s">
        <v>1572</v>
      </c>
      <c r="G27" s="67">
        <v>0.15</v>
      </c>
      <c r="H27" s="63" t="s">
        <v>63</v>
      </c>
    </row>
    <row r="28" spans="1:8" ht="18" customHeight="1" x14ac:dyDescent="0.2">
      <c r="A28" s="63" t="s">
        <v>77</v>
      </c>
      <c r="B28" s="63" t="s">
        <v>1448</v>
      </c>
      <c r="C28" s="63"/>
      <c r="D28" s="63"/>
      <c r="E28" s="63" t="s">
        <v>1573</v>
      </c>
      <c r="F28" s="63" t="s">
        <v>1574</v>
      </c>
      <c r="G28" s="67">
        <v>0.1</v>
      </c>
      <c r="H28" s="63" t="s">
        <v>63</v>
      </c>
    </row>
    <row r="29" spans="1:8" x14ac:dyDescent="0.2">
      <c r="A29" s="63" t="s">
        <v>75</v>
      </c>
      <c r="B29" s="63" t="s">
        <v>76</v>
      </c>
      <c r="C29" s="63"/>
      <c r="D29" s="63"/>
      <c r="E29" s="63" t="s">
        <v>1573</v>
      </c>
      <c r="F29" s="63" t="s">
        <v>1575</v>
      </c>
      <c r="G29" s="67">
        <v>0.25</v>
      </c>
      <c r="H29" s="63" t="s">
        <v>63</v>
      </c>
    </row>
    <row r="30" spans="1:8" ht="22" customHeight="1" x14ac:dyDescent="0.2">
      <c r="A30" s="63" t="s">
        <v>78</v>
      </c>
      <c r="B30" s="63" t="s">
        <v>79</v>
      </c>
      <c r="C30" s="63"/>
      <c r="D30" s="63"/>
      <c r="E30" s="63" t="s">
        <v>748</v>
      </c>
      <c r="F30" s="63" t="s">
        <v>1576</v>
      </c>
      <c r="G30" s="67">
        <v>0.2</v>
      </c>
      <c r="H30" s="63" t="s">
        <v>63</v>
      </c>
    </row>
    <row r="31" spans="1:8" ht="32" customHeight="1" x14ac:dyDescent="0.2">
      <c r="A31" s="63"/>
      <c r="B31" s="63"/>
      <c r="C31" s="63"/>
      <c r="D31" s="63"/>
      <c r="E31" s="63"/>
      <c r="F31" s="63"/>
      <c r="G31" s="63"/>
      <c r="H31" s="63"/>
    </row>
    <row r="32" spans="1:8" x14ac:dyDescent="0.2">
      <c r="A32" s="64" t="s">
        <v>1577</v>
      </c>
      <c r="B32" s="63"/>
      <c r="C32" s="63"/>
      <c r="D32" s="63"/>
      <c r="E32" s="63"/>
      <c r="F32" s="63"/>
      <c r="G32" s="63"/>
      <c r="H32" s="63"/>
    </row>
    <row r="33" spans="1:8" ht="28" customHeight="1" x14ac:dyDescent="0.2">
      <c r="A33" s="65" t="s">
        <v>1578</v>
      </c>
      <c r="B33" s="63"/>
      <c r="C33" s="63"/>
      <c r="D33" s="63"/>
      <c r="E33" s="63"/>
      <c r="F33" s="63"/>
      <c r="G33" s="63"/>
      <c r="H33" s="63"/>
    </row>
    <row r="34" spans="1:8" ht="80" customHeight="1" x14ac:dyDescent="0.2">
      <c r="A34" s="63"/>
      <c r="B34" s="63"/>
      <c r="C34" s="63"/>
      <c r="D34" s="63"/>
      <c r="E34" s="63"/>
      <c r="F34" s="63"/>
      <c r="G34" s="63"/>
      <c r="H34" s="63"/>
    </row>
    <row r="35" spans="1:8" ht="80" customHeight="1" x14ac:dyDescent="0.2">
      <c r="A35" s="66" t="s">
        <v>122</v>
      </c>
      <c r="B35" s="66" t="s">
        <v>1579</v>
      </c>
      <c r="C35" s="66"/>
      <c r="D35" s="66"/>
      <c r="E35" s="66" t="s">
        <v>746</v>
      </c>
      <c r="F35" s="66" t="s">
        <v>747</v>
      </c>
      <c r="G35" s="66" t="s">
        <v>1580</v>
      </c>
      <c r="H35" s="66" t="s">
        <v>65</v>
      </c>
    </row>
    <row r="36" spans="1:8" ht="80" customHeight="1" x14ac:dyDescent="0.2">
      <c r="A36" s="63" t="s">
        <v>131</v>
      </c>
      <c r="B36" s="63" t="s">
        <v>1581</v>
      </c>
      <c r="C36" s="63"/>
      <c r="D36" s="63"/>
      <c r="E36" s="53" t="s">
        <v>1582</v>
      </c>
      <c r="F36" s="53" t="s">
        <v>1583</v>
      </c>
      <c r="G36" s="63" t="s">
        <v>1584</v>
      </c>
      <c r="H36" s="63" t="s">
        <v>63</v>
      </c>
    </row>
    <row r="37" spans="1:8" ht="64" customHeight="1" x14ac:dyDescent="0.2">
      <c r="A37" s="63" t="s">
        <v>157</v>
      </c>
      <c r="B37" s="63" t="s">
        <v>1585</v>
      </c>
      <c r="C37" s="63"/>
      <c r="D37" s="63"/>
      <c r="E37" s="53" t="s">
        <v>1586</v>
      </c>
      <c r="F37" s="53" t="s">
        <v>1587</v>
      </c>
      <c r="G37" s="63" t="s">
        <v>1588</v>
      </c>
      <c r="H37" s="63" t="s">
        <v>63</v>
      </c>
    </row>
    <row r="38" spans="1:8" ht="32" customHeight="1" x14ac:dyDescent="0.2">
      <c r="A38" s="63" t="s">
        <v>295</v>
      </c>
      <c r="B38" s="63" t="s">
        <v>1589</v>
      </c>
      <c r="C38" s="63"/>
      <c r="D38" s="63"/>
      <c r="E38" s="53" t="s">
        <v>1590</v>
      </c>
      <c r="F38" s="53" t="s">
        <v>1591</v>
      </c>
      <c r="G38" s="63" t="s">
        <v>1592</v>
      </c>
      <c r="H38" s="63" t="s">
        <v>63</v>
      </c>
    </row>
    <row r="39" spans="1:8" ht="18" customHeight="1" x14ac:dyDescent="0.2">
      <c r="A39" s="63" t="s">
        <v>393</v>
      </c>
      <c r="B39" s="63" t="s">
        <v>1593</v>
      </c>
      <c r="C39" s="63"/>
      <c r="D39" s="63"/>
      <c r="E39" s="53" t="s">
        <v>1594</v>
      </c>
      <c r="F39" s="53" t="s">
        <v>1595</v>
      </c>
      <c r="G39" s="63" t="s">
        <v>1596</v>
      </c>
      <c r="H39" s="63" t="s">
        <v>63</v>
      </c>
    </row>
    <row r="40" spans="1:8" ht="80" x14ac:dyDescent="0.2">
      <c r="A40" s="63" t="s">
        <v>748</v>
      </c>
      <c r="B40" s="63" t="s">
        <v>1597</v>
      </c>
      <c r="C40" s="63"/>
      <c r="D40" s="63"/>
      <c r="E40" s="53" t="s">
        <v>1598</v>
      </c>
      <c r="F40" s="53" t="s">
        <v>1599</v>
      </c>
      <c r="G40" s="63" t="s">
        <v>78</v>
      </c>
      <c r="H40" s="63" t="s">
        <v>63</v>
      </c>
    </row>
    <row r="41" spans="1:8" ht="22" customHeight="1" x14ac:dyDescent="0.2">
      <c r="A41" s="63"/>
      <c r="B41" s="63"/>
      <c r="C41" s="63"/>
      <c r="D41" s="63"/>
      <c r="E41" s="63"/>
      <c r="F41" s="63"/>
      <c r="G41" s="63"/>
      <c r="H41" s="63"/>
    </row>
    <row r="42" spans="1:8" ht="18" customHeight="1" x14ac:dyDescent="0.2">
      <c r="A42" s="64" t="s">
        <v>1600</v>
      </c>
      <c r="B42" s="63"/>
      <c r="C42" s="63"/>
      <c r="D42" s="63"/>
      <c r="E42" s="63"/>
      <c r="F42" s="63"/>
      <c r="G42" s="63"/>
      <c r="H42" s="63"/>
    </row>
    <row r="43" spans="1:8" x14ac:dyDescent="0.2">
      <c r="A43" s="63"/>
      <c r="B43" s="63"/>
      <c r="C43" s="63"/>
      <c r="D43" s="63"/>
      <c r="E43" s="63"/>
      <c r="F43" s="63"/>
      <c r="G43" s="63"/>
      <c r="H43" s="63"/>
    </row>
    <row r="44" spans="1:8" ht="28" customHeight="1" x14ac:dyDescent="0.2">
      <c r="A44" s="66" t="s">
        <v>1</v>
      </c>
      <c r="B44" s="66" t="s">
        <v>749</v>
      </c>
      <c r="C44" s="66"/>
      <c r="D44" s="66"/>
      <c r="E44" s="63"/>
      <c r="F44" s="63"/>
      <c r="G44" s="63"/>
      <c r="H44" s="63"/>
    </row>
    <row r="45" spans="1:8" ht="18" customHeight="1" x14ac:dyDescent="0.2">
      <c r="A45" s="63" t="s">
        <v>750</v>
      </c>
      <c r="B45" s="63" t="s">
        <v>1601</v>
      </c>
      <c r="C45" s="63"/>
      <c r="D45" s="63"/>
      <c r="E45" s="63"/>
      <c r="F45" s="63"/>
      <c r="G45" s="63"/>
      <c r="H45" s="63"/>
    </row>
    <row r="46" spans="1:8" ht="18" customHeight="1" x14ac:dyDescent="0.2">
      <c r="A46" s="63" t="s">
        <v>751</v>
      </c>
      <c r="B46" s="63" t="s">
        <v>752</v>
      </c>
      <c r="C46" s="63"/>
      <c r="D46" s="63"/>
      <c r="E46" s="63"/>
      <c r="F46" s="63"/>
      <c r="G46" s="63"/>
      <c r="H46" s="63"/>
    </row>
    <row r="47" spans="1:8" ht="18" customHeight="1" x14ac:dyDescent="0.2">
      <c r="A47" s="63" t="s">
        <v>753</v>
      </c>
      <c r="B47" s="63" t="s">
        <v>754</v>
      </c>
      <c r="C47" s="63"/>
      <c r="D47" s="63"/>
      <c r="E47" s="63"/>
      <c r="F47" s="63"/>
      <c r="G47" s="63"/>
      <c r="H47" s="63"/>
    </row>
    <row r="48" spans="1:8" ht="18" customHeight="1" x14ac:dyDescent="0.2">
      <c r="A48" s="63" t="s">
        <v>755</v>
      </c>
      <c r="B48" s="63" t="s">
        <v>756</v>
      </c>
      <c r="C48" s="63"/>
      <c r="D48" s="63"/>
      <c r="E48" s="63"/>
      <c r="F48" s="63"/>
      <c r="G48" s="63"/>
      <c r="H48" s="63"/>
    </row>
    <row r="49" spans="1:8" ht="18" customHeight="1" x14ac:dyDescent="0.2">
      <c r="A49" s="65" t="s">
        <v>1602</v>
      </c>
      <c r="B49" s="63"/>
      <c r="C49" s="63"/>
      <c r="D49" s="63"/>
      <c r="E49" s="63"/>
      <c r="F49" s="63"/>
      <c r="G49" s="63"/>
      <c r="H49" s="63"/>
    </row>
    <row r="51" spans="1:8" ht="18" customHeight="1" x14ac:dyDescent="0.2"/>
    <row r="52" spans="1:8" ht="24" customHeight="1" x14ac:dyDescent="0.2"/>
    <row r="53" spans="1:8" ht="18" customHeight="1" x14ac:dyDescent="0.2"/>
    <row r="54" spans="1:8" ht="20" customHeight="1" x14ac:dyDescent="0.2"/>
    <row r="55" spans="1:8" ht="20" customHeight="1" x14ac:dyDescent="0.2"/>
    <row r="56" spans="1:8" ht="20" customHeight="1" x14ac:dyDescent="0.2"/>
    <row r="57" spans="1:8" ht="20" customHeight="1" x14ac:dyDescent="0.2"/>
    <row r="58" spans="1:8" ht="20" customHeight="1" x14ac:dyDescent="0.2"/>
    <row r="59" spans="1:8" ht="20" customHeight="1" x14ac:dyDescent="0.2"/>
    <row r="60" spans="1:8" ht="20" customHeight="1" x14ac:dyDescent="0.2"/>
    <row r="61" spans="1:8" ht="20" customHeight="1" x14ac:dyDescent="0.2"/>
    <row r="62" spans="1:8" ht="20" customHeight="1" x14ac:dyDescent="0.2"/>
    <row r="63" spans="1:8" ht="18" customHeight="1" x14ac:dyDescent="0.2"/>
    <row r="65" ht="20" customHeight="1" x14ac:dyDescent="0.2"/>
    <row r="66" ht="28" customHeight="1" x14ac:dyDescent="0.2"/>
    <row r="67" ht="48" customHeight="1" x14ac:dyDescent="0.2"/>
    <row r="68" ht="48" customHeight="1" x14ac:dyDescent="0.2"/>
    <row r="69" ht="48" customHeight="1" x14ac:dyDescent="0.2"/>
    <row r="70" ht="48" customHeight="1" x14ac:dyDescent="0.2"/>
    <row r="71" ht="32" customHeight="1" x14ac:dyDescent="0.2"/>
    <row r="73" ht="20" customHeight="1" x14ac:dyDescent="0.2"/>
    <row r="74" ht="28" customHeight="1" x14ac:dyDescent="0.2"/>
    <row r="75" ht="48" customHeight="1" x14ac:dyDescent="0.2"/>
    <row r="76" ht="48" customHeight="1" x14ac:dyDescent="0.2"/>
    <row r="77" ht="32" customHeight="1" x14ac:dyDescent="0.2"/>
    <row r="78" ht="48" customHeight="1" x14ac:dyDescent="0.2"/>
    <row r="79" ht="32" customHeight="1" x14ac:dyDescent="0.2"/>
    <row r="81" ht="22" customHeight="1" x14ac:dyDescent="0.2"/>
    <row r="82" ht="18" customHeight="1" x14ac:dyDescent="0.2"/>
    <row r="84" ht="28" customHeight="1" x14ac:dyDescent="0.2"/>
    <row r="85" ht="18" customHeight="1" x14ac:dyDescent="0.2"/>
    <row r="86" ht="18" customHeight="1" x14ac:dyDescent="0.2"/>
    <row r="87" ht="18" customHeight="1" x14ac:dyDescent="0.2"/>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sheetData>
  <pageMargins left="0.75" right="0.75" top="1" bottom="1" header="0.5" footer="0.5"/>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8C2F0-90BF-CF48-ABAD-8B2CFDD3657A}">
  <dimension ref="A1:M49"/>
  <sheetViews>
    <sheetView tabSelected="1" topLeftCell="C5" workbookViewId="0">
      <pane xSplit="1" ySplit="1" topLeftCell="F6" activePane="bottomRight" state="frozen"/>
      <selection activeCell="C5" sqref="C5"/>
      <selection pane="topRight" activeCell="D5" sqref="D5"/>
      <selection pane="bottomLeft" activeCell="C6" sqref="C6"/>
      <selection pane="bottomRight" activeCell="O42" sqref="O42"/>
    </sheetView>
  </sheetViews>
  <sheetFormatPr baseColWidth="10" defaultRowHeight="15" outlineLevelCol="1" x14ac:dyDescent="0.2"/>
  <cols>
    <col min="1" max="1" width="10" customWidth="1"/>
    <col min="2" max="2" width="8.33203125" customWidth="1"/>
    <col min="3" max="3" width="50" customWidth="1"/>
    <col min="4" max="5" width="12.5" customWidth="1"/>
    <col min="6" max="7" width="8.33203125" customWidth="1"/>
    <col min="8" max="9" width="8.33203125" customWidth="1" outlineLevel="1"/>
    <col min="10" max="14" width="9.1640625" customWidth="1"/>
  </cols>
  <sheetData>
    <row r="1" spans="1:13" ht="19" x14ac:dyDescent="0.25">
      <c r="A1" s="84" t="s">
        <v>1645</v>
      </c>
    </row>
    <row r="2" spans="1:13" x14ac:dyDescent="0.2">
      <c r="A2" s="10" t="s">
        <v>1655</v>
      </c>
    </row>
    <row r="3" spans="1:13" ht="22" customHeight="1" x14ac:dyDescent="0.2">
      <c r="K3" t="s">
        <v>62</v>
      </c>
      <c r="L3" t="s">
        <v>1672</v>
      </c>
      <c r="M3" t="s">
        <v>1673</v>
      </c>
    </row>
    <row r="4" spans="1:13" ht="24" customHeight="1" x14ac:dyDescent="0.2">
      <c r="A4" s="86" t="s">
        <v>332</v>
      </c>
      <c r="B4" s="86" t="s">
        <v>964</v>
      </c>
      <c r="C4" s="86" t="s">
        <v>1646</v>
      </c>
      <c r="D4" s="86" t="s">
        <v>1647</v>
      </c>
      <c r="E4" s="86" t="s">
        <v>1648</v>
      </c>
      <c r="F4" s="86" t="s">
        <v>1649</v>
      </c>
      <c r="G4" s="86" t="s">
        <v>1654</v>
      </c>
      <c r="H4" s="96" t="s">
        <v>1654</v>
      </c>
      <c r="I4" s="96" t="s">
        <v>1649</v>
      </c>
      <c r="K4" t="s">
        <v>1674</v>
      </c>
      <c r="L4">
        <v>46136</v>
      </c>
      <c r="M4">
        <v>0.5</v>
      </c>
    </row>
    <row r="5" spans="1:13" ht="24" customHeight="1" x14ac:dyDescent="0.2">
      <c r="A5" s="87" t="s">
        <v>1656</v>
      </c>
      <c r="B5" s="100" t="s">
        <v>1650</v>
      </c>
      <c r="C5" s="92" t="s">
        <v>1660</v>
      </c>
      <c r="D5" s="95">
        <v>46134</v>
      </c>
      <c r="E5" s="95">
        <v>46138</v>
      </c>
      <c r="F5" s="32">
        <f t="shared" ref="F5:F16" si="0">E5-D5+1</f>
        <v>5</v>
      </c>
      <c r="G5" s="32">
        <f t="shared" ref="G5:G16" si="1">D5-$D$5</f>
        <v>0</v>
      </c>
      <c r="H5" s="97">
        <f t="shared" ref="H5:H16" si="2">D5</f>
        <v>46134</v>
      </c>
      <c r="I5" s="97">
        <f t="shared" ref="I5:I16" si="3">E5-D5+1</f>
        <v>5</v>
      </c>
      <c r="K5" t="s">
        <v>1674</v>
      </c>
      <c r="L5">
        <v>46136</v>
      </c>
      <c r="M5">
        <v>12.5</v>
      </c>
    </row>
    <row r="6" spans="1:13" ht="24" customHeight="1" x14ac:dyDescent="0.2">
      <c r="A6" s="87" t="s">
        <v>1656</v>
      </c>
      <c r="B6" s="100" t="s">
        <v>1650</v>
      </c>
      <c r="C6" s="92" t="s">
        <v>1661</v>
      </c>
      <c r="D6" s="95">
        <v>46139</v>
      </c>
      <c r="E6" s="95">
        <v>46145</v>
      </c>
      <c r="F6" s="32">
        <f t="shared" si="0"/>
        <v>7</v>
      </c>
      <c r="G6" s="32">
        <f t="shared" si="1"/>
        <v>5</v>
      </c>
      <c r="H6" s="97">
        <f t="shared" si="2"/>
        <v>46139</v>
      </c>
      <c r="I6" s="97">
        <f t="shared" si="3"/>
        <v>7</v>
      </c>
      <c r="K6" t="s">
        <v>1675</v>
      </c>
      <c r="L6">
        <v>46159</v>
      </c>
      <c r="M6">
        <v>0.5</v>
      </c>
    </row>
    <row r="7" spans="1:13" ht="24" customHeight="1" x14ac:dyDescent="0.2">
      <c r="A7" s="87" t="s">
        <v>1656</v>
      </c>
      <c r="B7" s="100" t="s">
        <v>1650</v>
      </c>
      <c r="C7" s="92" t="s">
        <v>1662</v>
      </c>
      <c r="D7" s="95">
        <v>46139</v>
      </c>
      <c r="E7" s="95">
        <v>46159</v>
      </c>
      <c r="F7" s="32">
        <f t="shared" si="0"/>
        <v>21</v>
      </c>
      <c r="G7" s="32">
        <f t="shared" si="1"/>
        <v>5</v>
      </c>
      <c r="H7" s="97">
        <f t="shared" si="2"/>
        <v>46139</v>
      </c>
      <c r="I7" s="97">
        <f t="shared" si="3"/>
        <v>21</v>
      </c>
      <c r="K7" t="s">
        <v>1675</v>
      </c>
      <c r="L7">
        <v>46159</v>
      </c>
      <c r="M7">
        <v>12.5</v>
      </c>
    </row>
    <row r="8" spans="1:13" ht="24" customHeight="1" x14ac:dyDescent="0.2">
      <c r="A8" s="87" t="s">
        <v>1656</v>
      </c>
      <c r="B8" s="100" t="s">
        <v>1650</v>
      </c>
      <c r="C8" s="92" t="s">
        <v>1663</v>
      </c>
      <c r="D8" s="95">
        <v>46146</v>
      </c>
      <c r="E8" s="95">
        <v>46159</v>
      </c>
      <c r="F8" s="32">
        <f t="shared" si="0"/>
        <v>14</v>
      </c>
      <c r="G8" s="32">
        <f t="shared" si="1"/>
        <v>12</v>
      </c>
      <c r="H8" s="97">
        <f t="shared" si="2"/>
        <v>46146</v>
      </c>
      <c r="I8" s="97">
        <f t="shared" si="3"/>
        <v>14</v>
      </c>
      <c r="K8" t="s">
        <v>1676</v>
      </c>
      <c r="L8">
        <v>46194</v>
      </c>
      <c r="M8">
        <v>0.5</v>
      </c>
    </row>
    <row r="9" spans="1:13" ht="24" customHeight="1" x14ac:dyDescent="0.2">
      <c r="A9" s="87" t="s">
        <v>1656</v>
      </c>
      <c r="B9" s="100" t="s">
        <v>1650</v>
      </c>
      <c r="C9" s="92" t="s">
        <v>1664</v>
      </c>
      <c r="D9" s="95">
        <v>46153</v>
      </c>
      <c r="E9" s="95">
        <v>46159</v>
      </c>
      <c r="F9" s="32">
        <f t="shared" si="0"/>
        <v>7</v>
      </c>
      <c r="G9" s="32">
        <f t="shared" si="1"/>
        <v>19</v>
      </c>
      <c r="H9" s="97">
        <f t="shared" si="2"/>
        <v>46153</v>
      </c>
      <c r="I9" s="97">
        <f t="shared" si="3"/>
        <v>7</v>
      </c>
      <c r="K9" t="s">
        <v>1676</v>
      </c>
      <c r="L9">
        <v>46194</v>
      </c>
      <c r="M9">
        <v>12.5</v>
      </c>
    </row>
    <row r="10" spans="1:13" ht="24" customHeight="1" x14ac:dyDescent="0.2">
      <c r="A10" s="87" t="s">
        <v>1656</v>
      </c>
      <c r="B10" s="101" t="s">
        <v>1650</v>
      </c>
      <c r="C10" s="92" t="s">
        <v>1665</v>
      </c>
      <c r="D10" s="95">
        <v>46139</v>
      </c>
      <c r="E10" s="95">
        <v>46159</v>
      </c>
      <c r="F10" s="32">
        <f t="shared" si="0"/>
        <v>21</v>
      </c>
      <c r="G10" s="32">
        <f t="shared" si="1"/>
        <v>5</v>
      </c>
      <c r="H10" s="97">
        <f t="shared" si="2"/>
        <v>46139</v>
      </c>
      <c r="I10" s="97">
        <f t="shared" si="3"/>
        <v>21</v>
      </c>
    </row>
    <row r="11" spans="1:13" ht="24" customHeight="1" x14ac:dyDescent="0.2">
      <c r="A11" s="88" t="s">
        <v>1656</v>
      </c>
      <c r="B11" s="93" t="s">
        <v>1651</v>
      </c>
      <c r="C11" s="92" t="s">
        <v>1666</v>
      </c>
      <c r="D11" s="95">
        <v>46139</v>
      </c>
      <c r="E11" s="95">
        <v>46159</v>
      </c>
      <c r="F11" s="32">
        <f t="shared" si="0"/>
        <v>21</v>
      </c>
      <c r="G11" s="32">
        <f t="shared" si="1"/>
        <v>5</v>
      </c>
      <c r="H11" s="97">
        <f t="shared" si="2"/>
        <v>46139</v>
      </c>
      <c r="I11" s="97">
        <f t="shared" si="3"/>
        <v>21</v>
      </c>
    </row>
    <row r="12" spans="1:13" ht="24" customHeight="1" x14ac:dyDescent="0.2">
      <c r="A12" s="88" t="s">
        <v>1656</v>
      </c>
      <c r="B12" s="93" t="s">
        <v>1651</v>
      </c>
      <c r="C12" s="92" t="s">
        <v>1667</v>
      </c>
      <c r="D12" s="95">
        <v>46146</v>
      </c>
      <c r="E12" s="95">
        <v>46159</v>
      </c>
      <c r="F12" s="32">
        <f t="shared" si="0"/>
        <v>14</v>
      </c>
      <c r="G12" s="32">
        <f t="shared" si="1"/>
        <v>12</v>
      </c>
      <c r="H12" s="97">
        <f t="shared" si="2"/>
        <v>46146</v>
      </c>
      <c r="I12" s="97">
        <f t="shared" si="3"/>
        <v>14</v>
      </c>
    </row>
    <row r="13" spans="1:13" ht="24" customHeight="1" x14ac:dyDescent="0.2">
      <c r="A13" s="94" t="s">
        <v>1657</v>
      </c>
      <c r="B13" s="101" t="s">
        <v>1650</v>
      </c>
      <c r="C13" s="92" t="s">
        <v>1668</v>
      </c>
      <c r="D13" s="95">
        <v>46160</v>
      </c>
      <c r="E13" s="95">
        <v>46187</v>
      </c>
      <c r="F13" s="32">
        <f t="shared" si="0"/>
        <v>28</v>
      </c>
      <c r="G13" s="32">
        <f t="shared" si="1"/>
        <v>26</v>
      </c>
      <c r="H13" s="97">
        <f t="shared" si="2"/>
        <v>46160</v>
      </c>
      <c r="I13" s="97">
        <f t="shared" si="3"/>
        <v>28</v>
      </c>
    </row>
    <row r="14" spans="1:13" ht="24" customHeight="1" x14ac:dyDescent="0.2">
      <c r="A14" s="94" t="s">
        <v>1657</v>
      </c>
      <c r="B14" s="101" t="s">
        <v>1650</v>
      </c>
      <c r="C14" s="92" t="s">
        <v>1669</v>
      </c>
      <c r="D14" s="95">
        <v>46167</v>
      </c>
      <c r="E14" s="95">
        <v>46194</v>
      </c>
      <c r="F14" s="32">
        <f t="shared" si="0"/>
        <v>28</v>
      </c>
      <c r="G14" s="32">
        <f t="shared" si="1"/>
        <v>33</v>
      </c>
      <c r="H14" s="97">
        <f t="shared" si="2"/>
        <v>46167</v>
      </c>
      <c r="I14" s="97">
        <f t="shared" si="3"/>
        <v>28</v>
      </c>
    </row>
    <row r="15" spans="1:13" ht="24" customHeight="1" x14ac:dyDescent="0.2">
      <c r="A15" s="94" t="s">
        <v>1657</v>
      </c>
      <c r="B15" s="100" t="s">
        <v>1650</v>
      </c>
      <c r="C15" s="92" t="s">
        <v>1670</v>
      </c>
      <c r="D15" s="95">
        <v>46160</v>
      </c>
      <c r="E15" s="95">
        <v>46187</v>
      </c>
      <c r="F15" s="32">
        <f t="shared" si="0"/>
        <v>28</v>
      </c>
      <c r="G15" s="32">
        <f t="shared" si="1"/>
        <v>26</v>
      </c>
      <c r="H15" s="97">
        <f t="shared" si="2"/>
        <v>46160</v>
      </c>
      <c r="I15" s="97">
        <f t="shared" si="3"/>
        <v>28</v>
      </c>
    </row>
    <row r="16" spans="1:13" ht="24" customHeight="1" x14ac:dyDescent="0.2">
      <c r="A16" s="88" t="s">
        <v>1657</v>
      </c>
      <c r="B16" s="93" t="s">
        <v>1651</v>
      </c>
      <c r="C16" s="92" t="s">
        <v>1671</v>
      </c>
      <c r="D16" s="95">
        <v>46160</v>
      </c>
      <c r="E16" s="95">
        <v>46194</v>
      </c>
      <c r="F16" s="32">
        <f t="shared" si="0"/>
        <v>35</v>
      </c>
      <c r="G16" s="32">
        <f t="shared" si="1"/>
        <v>26</v>
      </c>
      <c r="H16" s="97">
        <f t="shared" si="2"/>
        <v>46160</v>
      </c>
      <c r="I16" s="97">
        <f t="shared" si="3"/>
        <v>35</v>
      </c>
    </row>
    <row r="17" ht="22" customHeight="1" x14ac:dyDescent="0.2"/>
    <row r="44" spans="1:4" x14ac:dyDescent="0.2">
      <c r="A44" s="85" t="s">
        <v>1652</v>
      </c>
    </row>
    <row r="45" spans="1:4" x14ac:dyDescent="0.2">
      <c r="B45" s="98" t="s">
        <v>1650</v>
      </c>
      <c r="C45" s="99" t="s">
        <v>337</v>
      </c>
      <c r="D45" s="89" t="s">
        <v>1651</v>
      </c>
    </row>
    <row r="47" spans="1:4" x14ac:dyDescent="0.2">
      <c r="A47" s="85" t="s">
        <v>1653</v>
      </c>
    </row>
    <row r="48" spans="1:4" x14ac:dyDescent="0.2">
      <c r="B48" s="90" t="s">
        <v>1658</v>
      </c>
    </row>
    <row r="49" spans="2:2" x14ac:dyDescent="0.2">
      <c r="B49" s="91" t="s">
        <v>1659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8"/>
  <sheetViews>
    <sheetView topLeftCell="A40" workbookViewId="0">
      <selection activeCell="H1" sqref="H1"/>
    </sheetView>
  </sheetViews>
  <sheetFormatPr baseColWidth="10" defaultColWidth="8.83203125" defaultRowHeight="15" x14ac:dyDescent="0.2"/>
  <cols>
    <col min="1" max="3" width="50" customWidth="1"/>
    <col min="4" max="4" width="39" customWidth="1"/>
    <col min="5" max="5" width="34" customWidth="1"/>
    <col min="6" max="11" width="18" customWidth="1"/>
  </cols>
  <sheetData>
    <row r="1" spans="1:10" ht="28" customHeight="1" x14ac:dyDescent="0.2">
      <c r="A1" s="1" t="s">
        <v>1015</v>
      </c>
      <c r="H1" s="27" t="s">
        <v>1266</v>
      </c>
      <c r="I1" s="26" t="s">
        <v>1247</v>
      </c>
      <c r="J1" s="22" t="s">
        <v>1267</v>
      </c>
    </row>
    <row r="3" spans="1:10" ht="22" customHeight="1" x14ac:dyDescent="0.2">
      <c r="A3" s="104"/>
      <c r="B3" s="103"/>
      <c r="C3" s="103"/>
      <c r="D3" s="103"/>
      <c r="E3" s="103"/>
      <c r="F3" s="103"/>
      <c r="G3" s="103"/>
      <c r="H3" s="103"/>
      <c r="I3" s="103"/>
      <c r="J3" s="103"/>
    </row>
    <row r="5" spans="1:10" ht="22" customHeight="1" x14ac:dyDescent="0.2">
      <c r="A5" s="2" t="s">
        <v>1016</v>
      </c>
    </row>
    <row r="6" spans="1:10" ht="18" customHeight="1" x14ac:dyDescent="0.2">
      <c r="A6" s="105" t="s">
        <v>1017</v>
      </c>
      <c r="B6" s="103"/>
      <c r="C6" s="103"/>
      <c r="D6" s="103"/>
      <c r="E6" s="103"/>
      <c r="F6" s="103"/>
      <c r="G6" s="103"/>
      <c r="H6" s="103"/>
      <c r="I6" s="103"/>
      <c r="J6" s="103"/>
    </row>
    <row r="7" spans="1:10" x14ac:dyDescent="0.2">
      <c r="H7" s="11" t="s">
        <v>1280</v>
      </c>
    </row>
    <row r="8" spans="1:10" ht="28" customHeight="1" x14ac:dyDescent="0.2">
      <c r="A8" s="3" t="s">
        <v>61</v>
      </c>
      <c r="B8" s="3" t="s">
        <v>735</v>
      </c>
      <c r="C8" s="3" t="s">
        <v>1018</v>
      </c>
      <c r="D8" s="3" t="s">
        <v>2</v>
      </c>
      <c r="E8" s="3" t="s">
        <v>1019</v>
      </c>
      <c r="H8" s="9" t="s">
        <v>1281</v>
      </c>
      <c r="I8" s="9" t="s">
        <v>1282</v>
      </c>
    </row>
    <row r="9" spans="1:10" ht="32" customHeight="1" x14ac:dyDescent="0.2">
      <c r="A9" s="4" t="s">
        <v>1020</v>
      </c>
      <c r="B9" s="4" t="s">
        <v>1021</v>
      </c>
      <c r="C9" s="4" t="s">
        <v>1022</v>
      </c>
      <c r="D9" s="4" t="s">
        <v>1023</v>
      </c>
      <c r="E9" s="4" t="s">
        <v>1024</v>
      </c>
      <c r="H9" t="s">
        <v>1283</v>
      </c>
      <c r="I9">
        <v>1</v>
      </c>
    </row>
    <row r="10" spans="1:10" ht="80" customHeight="1" x14ac:dyDescent="0.2">
      <c r="A10" s="5" t="s">
        <v>1025</v>
      </c>
      <c r="B10" s="5" t="s">
        <v>1026</v>
      </c>
      <c r="C10" s="5" t="s">
        <v>1027</v>
      </c>
      <c r="D10" s="5" t="s">
        <v>1023</v>
      </c>
      <c r="E10" s="5" t="s">
        <v>1028</v>
      </c>
      <c r="H10" t="s">
        <v>1284</v>
      </c>
      <c r="I10">
        <v>2</v>
      </c>
    </row>
    <row r="11" spans="1:10" ht="48" customHeight="1" x14ac:dyDescent="0.2">
      <c r="A11" s="4" t="s">
        <v>1029</v>
      </c>
      <c r="B11" s="4" t="s">
        <v>1030</v>
      </c>
      <c r="C11" s="4" t="s">
        <v>1031</v>
      </c>
      <c r="D11" s="4" t="s">
        <v>1023</v>
      </c>
      <c r="E11" s="4" t="s">
        <v>1028</v>
      </c>
      <c r="H11" t="s">
        <v>1285</v>
      </c>
      <c r="I11">
        <v>2</v>
      </c>
    </row>
    <row r="12" spans="1:10" ht="32" customHeight="1" x14ac:dyDescent="0.2">
      <c r="A12" s="5" t="s">
        <v>1032</v>
      </c>
      <c r="B12" s="5" t="s">
        <v>1033</v>
      </c>
      <c r="C12" s="5" t="s">
        <v>1034</v>
      </c>
      <c r="D12" s="5" t="s">
        <v>36</v>
      </c>
      <c r="E12" s="5" t="s">
        <v>1024</v>
      </c>
      <c r="H12" t="s">
        <v>1286</v>
      </c>
      <c r="I12">
        <v>1</v>
      </c>
    </row>
    <row r="13" spans="1:10" ht="32" customHeight="1" x14ac:dyDescent="0.2">
      <c r="A13" s="4" t="s">
        <v>1035</v>
      </c>
      <c r="B13" s="4" t="s">
        <v>1036</v>
      </c>
      <c r="C13" s="4" t="s">
        <v>1037</v>
      </c>
      <c r="D13" s="4" t="s">
        <v>48</v>
      </c>
      <c r="E13" s="4" t="s">
        <v>1024</v>
      </c>
      <c r="H13" t="s">
        <v>1287</v>
      </c>
      <c r="I13">
        <v>1</v>
      </c>
    </row>
    <row r="14" spans="1:10" ht="32" customHeight="1" x14ac:dyDescent="0.2">
      <c r="A14" s="5" t="s">
        <v>1038</v>
      </c>
      <c r="B14" s="5" t="s">
        <v>1363</v>
      </c>
      <c r="C14" s="5" t="s">
        <v>1364</v>
      </c>
      <c r="D14" s="5" t="s">
        <v>1039</v>
      </c>
      <c r="E14" s="5" t="s">
        <v>1040</v>
      </c>
      <c r="H14" t="s">
        <v>1288</v>
      </c>
      <c r="I14">
        <v>0</v>
      </c>
    </row>
    <row r="15" spans="1:10" ht="48" customHeight="1" x14ac:dyDescent="0.2">
      <c r="A15" s="4" t="s">
        <v>1041</v>
      </c>
      <c r="B15" s="4" t="s">
        <v>1042</v>
      </c>
      <c r="C15" s="4" t="s">
        <v>1043</v>
      </c>
      <c r="D15" s="4" t="s">
        <v>48</v>
      </c>
      <c r="E15" s="4" t="s">
        <v>1040</v>
      </c>
      <c r="H15" t="s">
        <v>1289</v>
      </c>
      <c r="I15">
        <v>0</v>
      </c>
    </row>
    <row r="16" spans="1:10" ht="32" customHeight="1" x14ac:dyDescent="0.2">
      <c r="A16" s="5" t="s">
        <v>1044</v>
      </c>
      <c r="B16" s="5" t="s">
        <v>1358</v>
      </c>
      <c r="C16" s="5" t="s">
        <v>1359</v>
      </c>
      <c r="D16" s="5" t="s">
        <v>1045</v>
      </c>
      <c r="E16" s="5" t="s">
        <v>1053</v>
      </c>
      <c r="H16" t="s">
        <v>1360</v>
      </c>
      <c r="I16">
        <v>4</v>
      </c>
    </row>
    <row r="17" spans="1:9" ht="32" customHeight="1" x14ac:dyDescent="0.2">
      <c r="A17" s="4" t="s">
        <v>1046</v>
      </c>
      <c r="B17" s="4" t="s">
        <v>1047</v>
      </c>
      <c r="C17" s="4" t="s">
        <v>1048</v>
      </c>
      <c r="D17" s="4" t="s">
        <v>1049</v>
      </c>
      <c r="E17" s="4" t="s">
        <v>1040</v>
      </c>
      <c r="H17" t="s">
        <v>1290</v>
      </c>
      <c r="I17">
        <v>0</v>
      </c>
    </row>
    <row r="18" spans="1:9" ht="32" customHeight="1" x14ac:dyDescent="0.2">
      <c r="A18" s="5" t="s">
        <v>1050</v>
      </c>
      <c r="B18" s="5" t="s">
        <v>1051</v>
      </c>
      <c r="C18" s="5" t="s">
        <v>1052</v>
      </c>
      <c r="D18" s="5" t="s">
        <v>640</v>
      </c>
      <c r="E18" s="5" t="s">
        <v>1053</v>
      </c>
      <c r="H18" t="s">
        <v>1291</v>
      </c>
      <c r="I18">
        <v>4</v>
      </c>
    </row>
    <row r="19" spans="1:9" ht="32" customHeight="1" x14ac:dyDescent="0.2">
      <c r="A19" s="4" t="s">
        <v>1054</v>
      </c>
      <c r="B19" s="4" t="s">
        <v>1055</v>
      </c>
      <c r="C19" s="4" t="s">
        <v>1056</v>
      </c>
      <c r="D19" s="4" t="s">
        <v>1057</v>
      </c>
      <c r="E19" s="4" t="s">
        <v>1058</v>
      </c>
      <c r="H19" t="s">
        <v>1292</v>
      </c>
      <c r="I19">
        <v>8</v>
      </c>
    </row>
    <row r="20" spans="1:9" ht="32" customHeight="1" x14ac:dyDescent="0.2">
      <c r="A20" s="5" t="s">
        <v>1059</v>
      </c>
      <c r="B20" s="5" t="s">
        <v>1060</v>
      </c>
      <c r="C20" s="5" t="s">
        <v>1061</v>
      </c>
      <c r="D20" s="5" t="s">
        <v>1062</v>
      </c>
      <c r="E20" s="5" t="s">
        <v>1063</v>
      </c>
      <c r="H20" t="s">
        <v>1293</v>
      </c>
      <c r="I20">
        <v>3</v>
      </c>
    </row>
    <row r="22" spans="1:9" ht="22" customHeight="1" x14ac:dyDescent="0.2">
      <c r="A22" s="2" t="s">
        <v>1064</v>
      </c>
    </row>
    <row r="23" spans="1:9" ht="28" customHeight="1" x14ac:dyDescent="0.2">
      <c r="A23" s="3" t="s">
        <v>1065</v>
      </c>
      <c r="B23" s="3" t="s">
        <v>735</v>
      </c>
      <c r="C23" s="3" t="s">
        <v>1066</v>
      </c>
    </row>
    <row r="24" spans="1:9" ht="32" customHeight="1" x14ac:dyDescent="0.2">
      <c r="A24" s="4" t="s">
        <v>1067</v>
      </c>
      <c r="B24" s="4" t="s">
        <v>1068</v>
      </c>
      <c r="C24" s="4" t="s">
        <v>1069</v>
      </c>
    </row>
    <row r="25" spans="1:9" ht="48" customHeight="1" x14ac:dyDescent="0.2">
      <c r="A25" s="5" t="s">
        <v>1070</v>
      </c>
      <c r="B25" s="5" t="s">
        <v>1343</v>
      </c>
      <c r="C25" s="5" t="s">
        <v>1344</v>
      </c>
    </row>
    <row r="26" spans="1:9" ht="64" customHeight="1" x14ac:dyDescent="0.2">
      <c r="A26" s="4" t="s">
        <v>18</v>
      </c>
      <c r="B26" s="4" t="s">
        <v>1071</v>
      </c>
      <c r="C26" s="4" t="s">
        <v>1072</v>
      </c>
    </row>
    <row r="27" spans="1:9" ht="32" customHeight="1" x14ac:dyDescent="0.2">
      <c r="A27" s="5" t="s">
        <v>1073</v>
      </c>
      <c r="B27" s="5" t="s">
        <v>1074</v>
      </c>
      <c r="C27" s="5" t="s">
        <v>1075</v>
      </c>
    </row>
    <row r="28" spans="1:9" ht="48" customHeight="1" x14ac:dyDescent="0.2">
      <c r="A28" s="4" t="s">
        <v>1076</v>
      </c>
      <c r="B28" s="4" t="s">
        <v>1077</v>
      </c>
      <c r="C28" s="4" t="s">
        <v>1078</v>
      </c>
    </row>
    <row r="29" spans="1:9" ht="48" customHeight="1" x14ac:dyDescent="0.2">
      <c r="A29" s="5" t="s">
        <v>1079</v>
      </c>
      <c r="B29" s="5" t="s">
        <v>1080</v>
      </c>
      <c r="C29" s="5" t="s">
        <v>1081</v>
      </c>
    </row>
    <row r="30" spans="1:9" ht="32" customHeight="1" x14ac:dyDescent="0.2">
      <c r="A30" s="4" t="s">
        <v>1082</v>
      </c>
      <c r="B30" s="4" t="s">
        <v>1083</v>
      </c>
      <c r="C30" s="4" t="s">
        <v>1084</v>
      </c>
    </row>
    <row r="31" spans="1:9" ht="64" customHeight="1" x14ac:dyDescent="0.2">
      <c r="A31" s="5" t="s">
        <v>1085</v>
      </c>
      <c r="B31" s="5" t="s">
        <v>1086</v>
      </c>
      <c r="C31" s="5" t="s">
        <v>1087</v>
      </c>
    </row>
    <row r="32" spans="1:9" ht="48" customHeight="1" x14ac:dyDescent="0.2">
      <c r="A32" s="4" t="s">
        <v>852</v>
      </c>
      <c r="B32" s="4" t="s">
        <v>1088</v>
      </c>
      <c r="C32" s="4" t="s">
        <v>1089</v>
      </c>
    </row>
    <row r="33" spans="1:3" ht="48" customHeight="1" x14ac:dyDescent="0.2">
      <c r="A33" s="5" t="s">
        <v>1090</v>
      </c>
      <c r="B33" s="5" t="s">
        <v>1091</v>
      </c>
      <c r="C33" s="5" t="s">
        <v>1092</v>
      </c>
    </row>
    <row r="34" spans="1:3" ht="32" customHeight="1" x14ac:dyDescent="0.2">
      <c r="A34" s="4" t="s">
        <v>1093</v>
      </c>
      <c r="B34" s="4" t="s">
        <v>1094</v>
      </c>
      <c r="C34" s="4" t="s">
        <v>1095</v>
      </c>
    </row>
    <row r="36" spans="1:3" ht="22" customHeight="1" x14ac:dyDescent="0.2">
      <c r="A36" s="2" t="s">
        <v>1096</v>
      </c>
    </row>
    <row r="37" spans="1:3" ht="28" customHeight="1" x14ac:dyDescent="0.2">
      <c r="A37" s="3" t="s">
        <v>1097</v>
      </c>
      <c r="B37" s="3" t="s">
        <v>1098</v>
      </c>
    </row>
    <row r="38" spans="1:3" ht="48" customHeight="1" x14ac:dyDescent="0.2">
      <c r="A38" s="4" t="s">
        <v>1099</v>
      </c>
      <c r="B38" s="4" t="s">
        <v>1100</v>
      </c>
    </row>
    <row r="39" spans="1:3" ht="48" customHeight="1" x14ac:dyDescent="0.2">
      <c r="A39" s="5" t="s">
        <v>1101</v>
      </c>
      <c r="B39" s="5" t="s">
        <v>1102</v>
      </c>
    </row>
    <row r="40" spans="1:3" ht="32" customHeight="1" x14ac:dyDescent="0.2">
      <c r="A40" s="4" t="s">
        <v>1103</v>
      </c>
      <c r="B40" s="4" t="s">
        <v>1104</v>
      </c>
    </row>
    <row r="41" spans="1:3" ht="48" customHeight="1" x14ac:dyDescent="0.2">
      <c r="A41" s="5" t="s">
        <v>1105</v>
      </c>
      <c r="B41" s="5" t="s">
        <v>1106</v>
      </c>
    </row>
    <row r="42" spans="1:3" ht="48" customHeight="1" x14ac:dyDescent="0.2">
      <c r="A42" s="4" t="s">
        <v>1107</v>
      </c>
      <c r="B42" s="4" t="s">
        <v>1108</v>
      </c>
    </row>
    <row r="43" spans="1:3" ht="48" customHeight="1" x14ac:dyDescent="0.2">
      <c r="A43" s="5" t="s">
        <v>1109</v>
      </c>
      <c r="B43" s="5" t="s">
        <v>1110</v>
      </c>
    </row>
    <row r="44" spans="1:3" ht="48" customHeight="1" x14ac:dyDescent="0.2">
      <c r="A44" s="4" t="s">
        <v>1111</v>
      </c>
      <c r="B44" s="4" t="s">
        <v>1112</v>
      </c>
    </row>
    <row r="45" spans="1:3" ht="32" customHeight="1" x14ac:dyDescent="0.2">
      <c r="A45" s="5" t="s">
        <v>1113</v>
      </c>
      <c r="B45" s="5" t="s">
        <v>1114</v>
      </c>
    </row>
    <row r="46" spans="1:3" ht="48" customHeight="1" x14ac:dyDescent="0.2">
      <c r="A46" s="4" t="s">
        <v>1115</v>
      </c>
      <c r="B46" s="4" t="s">
        <v>1116</v>
      </c>
    </row>
    <row r="47" spans="1:3" ht="48" customHeight="1" x14ac:dyDescent="0.2">
      <c r="A47" s="5" t="s">
        <v>1117</v>
      </c>
      <c r="B47" s="5" t="s">
        <v>1118</v>
      </c>
    </row>
    <row r="48" spans="1:3" ht="48" customHeight="1" x14ac:dyDescent="0.2">
      <c r="A48" s="4" t="s">
        <v>1119</v>
      </c>
      <c r="B48" s="4" t="s">
        <v>1120</v>
      </c>
    </row>
  </sheetData>
  <mergeCells count="2">
    <mergeCell ref="A6:J6"/>
    <mergeCell ref="A3:J3"/>
  </mergeCells>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9"/>
  <sheetViews>
    <sheetView workbookViewId="0">
      <pane ySplit="1" topLeftCell="A4" activePane="bottomLeft" state="frozen"/>
      <selection pane="bottomLeft" activeCell="H1" sqref="H1"/>
    </sheetView>
  </sheetViews>
  <sheetFormatPr baseColWidth="10" defaultColWidth="8.83203125" defaultRowHeight="15" x14ac:dyDescent="0.2"/>
  <cols>
    <col min="1" max="1" width="50" customWidth="1"/>
    <col min="2" max="2" width="23" customWidth="1"/>
    <col min="3" max="3" width="41" customWidth="1"/>
    <col min="4" max="4" width="50" customWidth="1"/>
    <col min="5" max="5" width="37" customWidth="1"/>
    <col min="6" max="6" width="25" customWidth="1"/>
    <col min="7" max="11" width="18" customWidth="1"/>
  </cols>
  <sheetData>
    <row r="1" spans="1:19" ht="28" customHeight="1" x14ac:dyDescent="0.2">
      <c r="A1" s="1" t="s">
        <v>935</v>
      </c>
      <c r="H1" s="27" t="s">
        <v>1266</v>
      </c>
      <c r="I1" s="26" t="s">
        <v>1247</v>
      </c>
      <c r="J1" s="22" t="s">
        <v>1267</v>
      </c>
    </row>
    <row r="3" spans="1:19" ht="22" customHeight="1" x14ac:dyDescent="0.2">
      <c r="A3" s="104"/>
      <c r="B3" s="103"/>
      <c r="C3" s="103"/>
      <c r="D3" s="103"/>
      <c r="E3" s="103"/>
      <c r="F3" s="103"/>
      <c r="G3" s="103"/>
      <c r="H3" s="103"/>
      <c r="I3" s="103"/>
      <c r="J3" s="103"/>
      <c r="M3" s="11" t="s">
        <v>1257</v>
      </c>
    </row>
    <row r="4" spans="1:19" x14ac:dyDescent="0.2">
      <c r="M4" s="9" t="s">
        <v>3</v>
      </c>
      <c r="N4" s="9" t="s">
        <v>1258</v>
      </c>
      <c r="O4" s="9" t="s">
        <v>1259</v>
      </c>
      <c r="P4" s="9" t="s">
        <v>1260</v>
      </c>
      <c r="Q4" s="9" t="s">
        <v>1261</v>
      </c>
      <c r="R4" s="9" t="s">
        <v>60</v>
      </c>
      <c r="S4" s="9" t="s">
        <v>1262</v>
      </c>
    </row>
    <row r="5" spans="1:19" ht="22" customHeight="1" x14ac:dyDescent="0.2">
      <c r="A5" s="2" t="s">
        <v>936</v>
      </c>
      <c r="M5" t="s">
        <v>36</v>
      </c>
      <c r="N5">
        <v>20</v>
      </c>
      <c r="O5">
        <v>10</v>
      </c>
      <c r="P5">
        <v>10</v>
      </c>
      <c r="Q5">
        <v>10</v>
      </c>
      <c r="R5">
        <v>50</v>
      </c>
      <c r="S5">
        <v>0</v>
      </c>
    </row>
    <row r="6" spans="1:19" ht="28" customHeight="1" x14ac:dyDescent="0.2">
      <c r="A6" s="3" t="s">
        <v>3</v>
      </c>
      <c r="B6" s="3" t="s">
        <v>937</v>
      </c>
      <c r="C6" s="3" t="s">
        <v>938</v>
      </c>
      <c r="D6" s="3" t="s">
        <v>939</v>
      </c>
      <c r="M6" t="s">
        <v>569</v>
      </c>
      <c r="N6">
        <v>20</v>
      </c>
      <c r="O6">
        <v>5</v>
      </c>
      <c r="P6">
        <v>5</v>
      </c>
      <c r="Q6">
        <v>5</v>
      </c>
      <c r="R6">
        <v>65</v>
      </c>
      <c r="S6">
        <v>0</v>
      </c>
    </row>
    <row r="7" spans="1:19" ht="32" customHeight="1" x14ac:dyDescent="0.2">
      <c r="A7" s="4" t="s">
        <v>36</v>
      </c>
      <c r="B7" s="4" t="s">
        <v>940</v>
      </c>
      <c r="C7" s="4" t="s">
        <v>941</v>
      </c>
      <c r="D7" s="4" t="s">
        <v>942</v>
      </c>
      <c r="M7" t="s">
        <v>1263</v>
      </c>
      <c r="N7">
        <v>15</v>
      </c>
      <c r="O7">
        <v>10</v>
      </c>
      <c r="P7">
        <v>10</v>
      </c>
      <c r="Q7">
        <v>15</v>
      </c>
      <c r="R7">
        <v>50</v>
      </c>
      <c r="S7">
        <v>0</v>
      </c>
    </row>
    <row r="8" spans="1:19" ht="48" customHeight="1" x14ac:dyDescent="0.2">
      <c r="A8" s="4" t="s">
        <v>944</v>
      </c>
      <c r="B8" s="4" t="s">
        <v>945</v>
      </c>
      <c r="C8" s="4" t="s">
        <v>946</v>
      </c>
      <c r="D8" s="4" t="s">
        <v>947</v>
      </c>
      <c r="M8" t="s">
        <v>51</v>
      </c>
      <c r="N8">
        <v>40</v>
      </c>
      <c r="O8">
        <v>0</v>
      </c>
      <c r="P8">
        <v>0</v>
      </c>
      <c r="Q8">
        <v>60</v>
      </c>
      <c r="R8">
        <v>0</v>
      </c>
      <c r="S8">
        <v>0</v>
      </c>
    </row>
    <row r="9" spans="1:19" ht="18" customHeight="1" x14ac:dyDescent="0.2">
      <c r="A9" s="5" t="s">
        <v>948</v>
      </c>
      <c r="B9" s="5" t="s">
        <v>87</v>
      </c>
      <c r="C9" s="5" t="s">
        <v>941</v>
      </c>
      <c r="D9" s="5" t="s">
        <v>949</v>
      </c>
      <c r="M9" t="s">
        <v>1264</v>
      </c>
      <c r="N9">
        <v>60</v>
      </c>
      <c r="O9">
        <v>10</v>
      </c>
      <c r="P9">
        <v>20</v>
      </c>
      <c r="Q9">
        <v>10</v>
      </c>
      <c r="R9">
        <v>0</v>
      </c>
      <c r="S9">
        <v>0</v>
      </c>
    </row>
    <row r="10" spans="1:19" ht="64" customHeight="1" x14ac:dyDescent="0.2">
      <c r="A10" s="4" t="s">
        <v>39</v>
      </c>
      <c r="B10" s="4" t="s">
        <v>943</v>
      </c>
      <c r="C10" s="4" t="s">
        <v>950</v>
      </c>
      <c r="D10" s="4" t="s">
        <v>951</v>
      </c>
      <c r="M10" t="s">
        <v>1265</v>
      </c>
      <c r="N10">
        <v>40</v>
      </c>
      <c r="O10">
        <v>30</v>
      </c>
      <c r="P10">
        <v>20</v>
      </c>
      <c r="Q10">
        <v>10</v>
      </c>
      <c r="R10">
        <v>0</v>
      </c>
      <c r="S10">
        <v>0</v>
      </c>
    </row>
    <row r="11" spans="1:19" ht="48" customHeight="1" x14ac:dyDescent="0.2">
      <c r="A11" s="5" t="s">
        <v>72</v>
      </c>
      <c r="B11" s="5" t="s">
        <v>87</v>
      </c>
      <c r="C11" s="5" t="s">
        <v>952</v>
      </c>
      <c r="D11" s="5" t="s">
        <v>953</v>
      </c>
      <c r="M11" t="s">
        <v>965</v>
      </c>
      <c r="N11">
        <v>30</v>
      </c>
      <c r="O11">
        <v>10</v>
      </c>
      <c r="P11">
        <v>0</v>
      </c>
      <c r="Q11">
        <v>0</v>
      </c>
      <c r="R11">
        <v>0</v>
      </c>
      <c r="S11">
        <v>60</v>
      </c>
    </row>
    <row r="12" spans="1:19" ht="120" customHeight="1" x14ac:dyDescent="0.2">
      <c r="A12" s="4" t="s">
        <v>954</v>
      </c>
      <c r="B12" s="4" t="s">
        <v>87</v>
      </c>
      <c r="C12" s="4" t="s">
        <v>952</v>
      </c>
      <c r="D12" s="4" t="s">
        <v>955</v>
      </c>
      <c r="M12" t="s">
        <v>966</v>
      </c>
      <c r="N12">
        <v>60</v>
      </c>
      <c r="O12">
        <v>0</v>
      </c>
      <c r="P12">
        <v>40</v>
      </c>
      <c r="Q12">
        <v>0</v>
      </c>
      <c r="R12">
        <v>0</v>
      </c>
      <c r="S12">
        <v>0</v>
      </c>
    </row>
    <row r="13" spans="1:19" ht="48" customHeight="1" x14ac:dyDescent="0.2">
      <c r="A13" s="5" t="s">
        <v>956</v>
      </c>
      <c r="B13" s="5" t="s">
        <v>87</v>
      </c>
      <c r="C13" s="5" t="s">
        <v>952</v>
      </c>
      <c r="D13" s="5" t="s">
        <v>957</v>
      </c>
    </row>
    <row r="14" spans="1:19" ht="48" customHeight="1" x14ac:dyDescent="0.2">
      <c r="A14" s="4" t="s">
        <v>760</v>
      </c>
      <c r="B14" s="4" t="s">
        <v>87</v>
      </c>
      <c r="C14" s="4" t="s">
        <v>958</v>
      </c>
      <c r="D14" s="4" t="s">
        <v>959</v>
      </c>
    </row>
    <row r="15" spans="1:19" ht="48" customHeight="1" x14ac:dyDescent="0.2">
      <c r="A15" s="5" t="s">
        <v>759</v>
      </c>
      <c r="B15" s="5" t="s">
        <v>960</v>
      </c>
      <c r="C15" s="5" t="s">
        <v>961</v>
      </c>
      <c r="D15" s="5" t="s">
        <v>1366</v>
      </c>
    </row>
    <row r="17" spans="1:10" ht="20" customHeight="1" x14ac:dyDescent="0.2">
      <c r="A17" s="7" t="s">
        <v>962</v>
      </c>
    </row>
    <row r="18" spans="1:10" ht="48" customHeight="1" x14ac:dyDescent="0.2">
      <c r="A18" s="105" t="s">
        <v>963</v>
      </c>
      <c r="B18" s="103"/>
      <c r="C18" s="103"/>
      <c r="D18" s="103"/>
      <c r="E18" s="103"/>
      <c r="F18" s="103"/>
      <c r="G18" s="103"/>
      <c r="H18" s="103"/>
      <c r="I18" s="103"/>
      <c r="J18" s="103"/>
    </row>
    <row r="20" spans="1:10" ht="28" customHeight="1" x14ac:dyDescent="0.2">
      <c r="A20" s="3" t="s">
        <v>964</v>
      </c>
      <c r="B20" s="3" t="s">
        <v>36</v>
      </c>
      <c r="C20" s="3" t="s">
        <v>569</v>
      </c>
      <c r="D20" s="3" t="s">
        <v>576</v>
      </c>
      <c r="E20" s="3" t="s">
        <v>39</v>
      </c>
      <c r="F20" s="3" t="s">
        <v>51</v>
      </c>
      <c r="G20" s="3" t="s">
        <v>239</v>
      </c>
      <c r="H20" s="3" t="s">
        <v>130</v>
      </c>
      <c r="I20" s="3" t="s">
        <v>965</v>
      </c>
      <c r="J20" s="3" t="s">
        <v>966</v>
      </c>
    </row>
    <row r="21" spans="1:10" ht="18" customHeight="1" x14ac:dyDescent="0.2">
      <c r="A21" s="4" t="s">
        <v>967</v>
      </c>
      <c r="B21" s="4" t="s">
        <v>968</v>
      </c>
      <c r="C21" s="4" t="s">
        <v>968</v>
      </c>
      <c r="D21" s="4" t="s">
        <v>73</v>
      </c>
      <c r="E21" s="4" t="s">
        <v>969</v>
      </c>
      <c r="F21" s="4" t="s">
        <v>970</v>
      </c>
      <c r="G21" s="4" t="s">
        <v>971</v>
      </c>
      <c r="H21" s="4" t="s">
        <v>972</v>
      </c>
      <c r="I21" s="4" t="s">
        <v>973</v>
      </c>
      <c r="J21" s="4" t="s">
        <v>971</v>
      </c>
    </row>
    <row r="22" spans="1:10" ht="18" customHeight="1" x14ac:dyDescent="0.2">
      <c r="A22" s="5" t="s">
        <v>114</v>
      </c>
      <c r="B22" s="5" t="s">
        <v>70</v>
      </c>
      <c r="C22" s="5" t="s">
        <v>68</v>
      </c>
      <c r="D22" s="5" t="s">
        <v>70</v>
      </c>
      <c r="E22" s="5" t="s">
        <v>974</v>
      </c>
      <c r="F22" s="5" t="s">
        <v>974</v>
      </c>
      <c r="G22" s="5" t="s">
        <v>70</v>
      </c>
      <c r="H22" s="5" t="s">
        <v>975</v>
      </c>
      <c r="I22" s="5" t="s">
        <v>976</v>
      </c>
      <c r="J22" s="5" t="s">
        <v>974</v>
      </c>
    </row>
    <row r="23" spans="1:10" ht="18" customHeight="1" x14ac:dyDescent="0.2">
      <c r="A23" s="4" t="s">
        <v>234</v>
      </c>
      <c r="B23" s="4" t="s">
        <v>70</v>
      </c>
      <c r="C23" s="4" t="s">
        <v>68</v>
      </c>
      <c r="D23" s="4" t="s">
        <v>70</v>
      </c>
      <c r="E23" s="4" t="s">
        <v>974</v>
      </c>
      <c r="F23" s="4" t="s">
        <v>974</v>
      </c>
      <c r="G23" s="4" t="s">
        <v>968</v>
      </c>
      <c r="H23" s="4" t="s">
        <v>968</v>
      </c>
      <c r="I23" s="4" t="s">
        <v>974</v>
      </c>
      <c r="J23" s="4" t="s">
        <v>972</v>
      </c>
    </row>
    <row r="24" spans="1:10" ht="18" customHeight="1" x14ac:dyDescent="0.2">
      <c r="A24" s="5" t="s">
        <v>977</v>
      </c>
      <c r="B24" s="5" t="s">
        <v>70</v>
      </c>
      <c r="C24" s="5" t="s">
        <v>68</v>
      </c>
      <c r="D24" s="5" t="s">
        <v>73</v>
      </c>
      <c r="E24" s="5" t="s">
        <v>974</v>
      </c>
      <c r="F24" s="5" t="s">
        <v>971</v>
      </c>
      <c r="G24" s="5" t="s">
        <v>70</v>
      </c>
      <c r="H24" s="5" t="s">
        <v>70</v>
      </c>
      <c r="I24" s="5" t="s">
        <v>974</v>
      </c>
      <c r="J24" s="5" t="s">
        <v>974</v>
      </c>
    </row>
    <row r="25" spans="1:10" ht="18" customHeight="1" x14ac:dyDescent="0.2">
      <c r="A25" s="4" t="s">
        <v>978</v>
      </c>
      <c r="B25" s="4" t="s">
        <v>941</v>
      </c>
      <c r="C25" s="4" t="s">
        <v>979</v>
      </c>
      <c r="D25" s="4" t="s">
        <v>941</v>
      </c>
      <c r="E25" s="4" t="s">
        <v>974</v>
      </c>
      <c r="F25" s="4" t="s">
        <v>974</v>
      </c>
      <c r="G25" s="4" t="s">
        <v>974</v>
      </c>
      <c r="H25" s="4" t="s">
        <v>974</v>
      </c>
      <c r="I25" s="4" t="s">
        <v>974</v>
      </c>
      <c r="J25" s="4" t="s">
        <v>974</v>
      </c>
    </row>
    <row r="26" spans="1:10" ht="18" customHeight="1" x14ac:dyDescent="0.2">
      <c r="A26" s="5" t="s">
        <v>980</v>
      </c>
      <c r="B26" s="5" t="s">
        <v>974</v>
      </c>
      <c r="C26" s="5" t="s">
        <v>974</v>
      </c>
      <c r="D26" s="5" t="s">
        <v>974</v>
      </c>
      <c r="E26" s="5" t="s">
        <v>981</v>
      </c>
      <c r="F26" s="5" t="s">
        <v>974</v>
      </c>
      <c r="G26" s="5" t="s">
        <v>974</v>
      </c>
      <c r="H26" s="5" t="s">
        <v>974</v>
      </c>
      <c r="I26" s="5" t="s">
        <v>982</v>
      </c>
      <c r="J26" s="5" t="s">
        <v>974</v>
      </c>
    </row>
    <row r="28" spans="1:10" ht="80" customHeight="1" x14ac:dyDescent="0.2">
      <c r="A28" s="105" t="s">
        <v>1306</v>
      </c>
      <c r="B28" s="103"/>
      <c r="C28" s="103"/>
      <c r="D28" s="103"/>
      <c r="E28" s="103"/>
      <c r="F28" s="103"/>
      <c r="G28" s="103"/>
      <c r="H28" s="103"/>
      <c r="I28" s="103"/>
      <c r="J28" s="103"/>
    </row>
    <row r="30" spans="1:10" ht="22" customHeight="1" x14ac:dyDescent="0.2">
      <c r="A30" s="2" t="s">
        <v>983</v>
      </c>
    </row>
    <row r="31" spans="1:10" ht="32" customHeight="1" x14ac:dyDescent="0.2">
      <c r="A31" s="105" t="s">
        <v>984</v>
      </c>
      <c r="B31" s="103"/>
      <c r="C31" s="103"/>
      <c r="D31" s="103"/>
      <c r="E31" s="103"/>
      <c r="F31" s="103"/>
      <c r="G31" s="103"/>
      <c r="H31" s="103"/>
      <c r="I31" s="103"/>
      <c r="J31" s="103"/>
    </row>
    <row r="33" spans="1:11" ht="28" customHeight="1" x14ac:dyDescent="0.2">
      <c r="A33" s="3" t="s">
        <v>985</v>
      </c>
      <c r="B33" s="3" t="s">
        <v>36</v>
      </c>
      <c r="C33" s="3" t="s">
        <v>569</v>
      </c>
      <c r="D33" s="3" t="s">
        <v>576</v>
      </c>
      <c r="E33" s="3" t="s">
        <v>39</v>
      </c>
      <c r="F33" s="3" t="s">
        <v>51</v>
      </c>
      <c r="G33" s="3" t="s">
        <v>239</v>
      </c>
      <c r="H33" s="3" t="s">
        <v>130</v>
      </c>
      <c r="I33" s="3" t="s">
        <v>965</v>
      </c>
      <c r="J33" s="3" t="s">
        <v>966</v>
      </c>
      <c r="K33" s="3" t="s">
        <v>58</v>
      </c>
    </row>
    <row r="34" spans="1:11" ht="18" customHeight="1" x14ac:dyDescent="0.2">
      <c r="A34" s="4" t="s">
        <v>986</v>
      </c>
      <c r="B34" s="4" t="s">
        <v>987</v>
      </c>
      <c r="C34" s="4" t="s">
        <v>988</v>
      </c>
      <c r="D34" s="4" t="s">
        <v>989</v>
      </c>
      <c r="E34" s="4" t="s">
        <v>990</v>
      </c>
      <c r="F34" s="4" t="s">
        <v>989</v>
      </c>
      <c r="G34" s="4" t="s">
        <v>989</v>
      </c>
      <c r="H34" s="4" t="s">
        <v>989</v>
      </c>
      <c r="I34" s="4" t="s">
        <v>989</v>
      </c>
      <c r="J34" s="4" t="s">
        <v>989</v>
      </c>
      <c r="K34" s="4" t="s">
        <v>989</v>
      </c>
    </row>
    <row r="35" spans="1:11" ht="18" customHeight="1" x14ac:dyDescent="0.2">
      <c r="A35" s="5" t="s">
        <v>991</v>
      </c>
      <c r="B35" s="5" t="s">
        <v>987</v>
      </c>
      <c r="C35" s="5" t="s">
        <v>989</v>
      </c>
      <c r="D35" s="5" t="s">
        <v>989</v>
      </c>
      <c r="E35" s="5" t="s">
        <v>989</v>
      </c>
      <c r="F35" s="5" t="s">
        <v>988</v>
      </c>
      <c r="G35" s="5" t="s">
        <v>988</v>
      </c>
      <c r="H35" s="5" t="s">
        <v>990</v>
      </c>
      <c r="I35" s="5" t="s">
        <v>988</v>
      </c>
      <c r="J35" s="5" t="s">
        <v>989</v>
      </c>
      <c r="K35" s="5" t="s">
        <v>989</v>
      </c>
    </row>
    <row r="36" spans="1:11" ht="18" customHeight="1" x14ac:dyDescent="0.2">
      <c r="A36" s="4" t="s">
        <v>992</v>
      </c>
      <c r="B36" s="4" t="s">
        <v>987</v>
      </c>
      <c r="C36" s="4" t="s">
        <v>988</v>
      </c>
      <c r="D36" s="4" t="s">
        <v>989</v>
      </c>
      <c r="E36" s="4" t="s">
        <v>988</v>
      </c>
      <c r="F36" s="4" t="s">
        <v>989</v>
      </c>
      <c r="G36" s="4" t="s">
        <v>988</v>
      </c>
      <c r="H36" s="4" t="s">
        <v>989</v>
      </c>
      <c r="I36" s="4" t="s">
        <v>989</v>
      </c>
      <c r="J36" s="4" t="s">
        <v>990</v>
      </c>
      <c r="K36" s="4" t="s">
        <v>989</v>
      </c>
    </row>
    <row r="37" spans="1:11" ht="18" customHeight="1" x14ac:dyDescent="0.2">
      <c r="A37" s="5" t="s">
        <v>993</v>
      </c>
      <c r="B37" s="5" t="s">
        <v>994</v>
      </c>
      <c r="C37" s="5" t="s">
        <v>988</v>
      </c>
      <c r="D37" s="5" t="s">
        <v>989</v>
      </c>
      <c r="E37" s="5" t="s">
        <v>988</v>
      </c>
      <c r="F37" s="5" t="s">
        <v>988</v>
      </c>
      <c r="G37" s="5" t="s">
        <v>988</v>
      </c>
      <c r="H37" s="5" t="s">
        <v>988</v>
      </c>
      <c r="I37" s="5" t="s">
        <v>989</v>
      </c>
      <c r="J37" s="5" t="s">
        <v>989</v>
      </c>
      <c r="K37" s="5" t="s">
        <v>989</v>
      </c>
    </row>
    <row r="38" spans="1:11" ht="18" customHeight="1" x14ac:dyDescent="0.2">
      <c r="A38" s="4" t="s">
        <v>764</v>
      </c>
      <c r="B38" s="4" t="s">
        <v>987</v>
      </c>
      <c r="C38" s="4" t="s">
        <v>990</v>
      </c>
      <c r="D38" s="4" t="s">
        <v>990</v>
      </c>
      <c r="E38" s="4" t="s">
        <v>988</v>
      </c>
      <c r="F38" s="4" t="s">
        <v>988</v>
      </c>
      <c r="G38" s="4" t="s">
        <v>988</v>
      </c>
      <c r="H38" s="4" t="s">
        <v>988</v>
      </c>
      <c r="I38" s="4" t="s">
        <v>989</v>
      </c>
      <c r="J38" s="4" t="s">
        <v>989</v>
      </c>
      <c r="K38" s="4" t="s">
        <v>989</v>
      </c>
    </row>
    <row r="39" spans="1:11" ht="18" customHeight="1" x14ac:dyDescent="0.2">
      <c r="A39" s="5" t="s">
        <v>995</v>
      </c>
      <c r="B39" s="5" t="s">
        <v>988</v>
      </c>
      <c r="C39" s="5" t="s">
        <v>994</v>
      </c>
      <c r="D39" s="5" t="s">
        <v>989</v>
      </c>
      <c r="E39" s="5" t="s">
        <v>988</v>
      </c>
      <c r="F39" s="5" t="s">
        <v>989</v>
      </c>
      <c r="G39" s="5" t="s">
        <v>990</v>
      </c>
      <c r="H39" s="5" t="s">
        <v>990</v>
      </c>
      <c r="I39" s="5" t="s">
        <v>989</v>
      </c>
      <c r="J39" s="5" t="s">
        <v>988</v>
      </c>
      <c r="K39" s="5" t="s">
        <v>989</v>
      </c>
    </row>
    <row r="40" spans="1:11" ht="32" customHeight="1" x14ac:dyDescent="0.2">
      <c r="A40" s="4" t="s">
        <v>996</v>
      </c>
      <c r="B40" s="4" t="s">
        <v>989</v>
      </c>
      <c r="C40" s="4" t="s">
        <v>989</v>
      </c>
      <c r="D40" s="4" t="s">
        <v>989</v>
      </c>
      <c r="E40" s="4" t="s">
        <v>989</v>
      </c>
      <c r="F40" s="4" t="s">
        <v>989</v>
      </c>
      <c r="G40" s="4" t="s">
        <v>997</v>
      </c>
      <c r="H40" s="4" t="s">
        <v>990</v>
      </c>
      <c r="I40" s="4" t="s">
        <v>989</v>
      </c>
      <c r="J40" s="4" t="s">
        <v>988</v>
      </c>
      <c r="K40" s="4" t="s">
        <v>989</v>
      </c>
    </row>
    <row r="41" spans="1:11" ht="18" customHeight="1" x14ac:dyDescent="0.2">
      <c r="A41" s="5" t="s">
        <v>998</v>
      </c>
      <c r="B41" s="5" t="s">
        <v>989</v>
      </c>
      <c r="C41" s="5" t="s">
        <v>989</v>
      </c>
      <c r="D41" s="5" t="s">
        <v>989</v>
      </c>
      <c r="E41" s="5" t="s">
        <v>989</v>
      </c>
      <c r="F41" s="5" t="s">
        <v>989</v>
      </c>
      <c r="G41" s="5" t="s">
        <v>990</v>
      </c>
      <c r="H41" s="5" t="s">
        <v>997</v>
      </c>
      <c r="I41" s="5" t="s">
        <v>988</v>
      </c>
      <c r="J41" s="5" t="s">
        <v>989</v>
      </c>
      <c r="K41" s="5" t="s">
        <v>989</v>
      </c>
    </row>
    <row r="42" spans="1:11" ht="18" customHeight="1" x14ac:dyDescent="0.2">
      <c r="A42" s="4" t="s">
        <v>999</v>
      </c>
      <c r="B42" s="4" t="s">
        <v>989</v>
      </c>
      <c r="C42" s="4" t="s">
        <v>989</v>
      </c>
      <c r="D42" s="4" t="s">
        <v>989</v>
      </c>
      <c r="E42" s="4" t="s">
        <v>989</v>
      </c>
      <c r="F42" s="4" t="s">
        <v>989</v>
      </c>
      <c r="G42" s="4" t="s">
        <v>997</v>
      </c>
      <c r="H42" s="4" t="s">
        <v>990</v>
      </c>
      <c r="I42" s="4" t="s">
        <v>989</v>
      </c>
      <c r="J42" s="4" t="s">
        <v>988</v>
      </c>
      <c r="K42" s="4" t="s">
        <v>989</v>
      </c>
    </row>
    <row r="43" spans="1:11" ht="18" customHeight="1" x14ac:dyDescent="0.2">
      <c r="A43" s="5" t="s">
        <v>1000</v>
      </c>
      <c r="B43" s="5" t="s">
        <v>989</v>
      </c>
      <c r="C43" s="5" t="s">
        <v>989</v>
      </c>
      <c r="D43" s="5" t="s">
        <v>989</v>
      </c>
      <c r="E43" s="5" t="s">
        <v>989</v>
      </c>
      <c r="F43" s="5" t="s">
        <v>994</v>
      </c>
      <c r="G43" s="5" t="s">
        <v>988</v>
      </c>
      <c r="H43" s="5" t="s">
        <v>988</v>
      </c>
      <c r="I43" s="5" t="s">
        <v>989</v>
      </c>
      <c r="J43" s="5" t="s">
        <v>989</v>
      </c>
      <c r="K43" s="5" t="s">
        <v>989</v>
      </c>
    </row>
    <row r="44" spans="1:11" ht="32" customHeight="1" x14ac:dyDescent="0.2">
      <c r="A44" s="4" t="s">
        <v>1001</v>
      </c>
      <c r="B44" s="4" t="s">
        <v>989</v>
      </c>
      <c r="C44" s="4" t="s">
        <v>989</v>
      </c>
      <c r="D44" s="4" t="s">
        <v>989</v>
      </c>
      <c r="E44" s="4" t="s">
        <v>989</v>
      </c>
      <c r="F44" s="4" t="s">
        <v>994</v>
      </c>
      <c r="G44" s="4" t="s">
        <v>988</v>
      </c>
      <c r="H44" s="4" t="s">
        <v>990</v>
      </c>
      <c r="I44" s="4" t="s">
        <v>989</v>
      </c>
      <c r="J44" s="4" t="s">
        <v>989</v>
      </c>
      <c r="K44" s="4" t="s">
        <v>989</v>
      </c>
    </row>
    <row r="45" spans="1:11" ht="18" customHeight="1" x14ac:dyDescent="0.2">
      <c r="A45" s="5" t="s">
        <v>1002</v>
      </c>
      <c r="B45" s="5" t="s">
        <v>989</v>
      </c>
      <c r="C45" s="5" t="s">
        <v>989</v>
      </c>
      <c r="D45" s="5" t="s">
        <v>989</v>
      </c>
      <c r="E45" s="5" t="s">
        <v>989</v>
      </c>
      <c r="F45" s="5" t="s">
        <v>990</v>
      </c>
      <c r="G45" s="5" t="s">
        <v>990</v>
      </c>
      <c r="H45" s="5" t="s">
        <v>990</v>
      </c>
      <c r="I45" s="5" t="s">
        <v>990</v>
      </c>
      <c r="J45" s="5" t="s">
        <v>989</v>
      </c>
      <c r="K45" s="5" t="s">
        <v>989</v>
      </c>
    </row>
    <row r="46" spans="1:11" ht="18" customHeight="1" x14ac:dyDescent="0.2">
      <c r="A46" s="4" t="s">
        <v>1003</v>
      </c>
      <c r="B46" s="4" t="s">
        <v>988</v>
      </c>
      <c r="C46" s="4" t="s">
        <v>989</v>
      </c>
      <c r="D46" s="4" t="s">
        <v>989</v>
      </c>
      <c r="E46" s="4" t="s">
        <v>988</v>
      </c>
      <c r="F46" s="4" t="s">
        <v>990</v>
      </c>
      <c r="G46" s="4" t="s">
        <v>990</v>
      </c>
      <c r="H46" s="4" t="s">
        <v>990</v>
      </c>
      <c r="I46" s="4" t="s">
        <v>990</v>
      </c>
      <c r="J46" s="4" t="s">
        <v>989</v>
      </c>
      <c r="K46" s="4" t="s">
        <v>989</v>
      </c>
    </row>
    <row r="47" spans="1:11" ht="18" customHeight="1" x14ac:dyDescent="0.2">
      <c r="A47" s="5" t="s">
        <v>1004</v>
      </c>
      <c r="B47" s="5" t="s">
        <v>988</v>
      </c>
      <c r="C47" s="5" t="s">
        <v>989</v>
      </c>
      <c r="D47" s="5" t="s">
        <v>989</v>
      </c>
      <c r="E47" s="5" t="s">
        <v>988</v>
      </c>
      <c r="F47" s="5" t="s">
        <v>994</v>
      </c>
      <c r="G47" s="5" t="s">
        <v>989</v>
      </c>
      <c r="H47" s="5" t="s">
        <v>990</v>
      </c>
      <c r="I47" s="5" t="s">
        <v>989</v>
      </c>
      <c r="J47" s="5" t="s">
        <v>989</v>
      </c>
      <c r="K47" s="5" t="s">
        <v>989</v>
      </c>
    </row>
    <row r="48" spans="1:11" ht="18" customHeight="1" x14ac:dyDescent="0.2">
      <c r="A48" s="4" t="s">
        <v>1005</v>
      </c>
      <c r="B48" s="4" t="s">
        <v>987</v>
      </c>
      <c r="C48" s="4" t="s">
        <v>989</v>
      </c>
      <c r="D48" s="4" t="s">
        <v>989</v>
      </c>
      <c r="E48" s="4" t="s">
        <v>989</v>
      </c>
      <c r="F48" s="4" t="s">
        <v>990</v>
      </c>
      <c r="G48" s="4" t="s">
        <v>990</v>
      </c>
      <c r="H48" s="4" t="s">
        <v>990</v>
      </c>
      <c r="I48" s="4" t="s">
        <v>989</v>
      </c>
      <c r="J48" s="4" t="s">
        <v>989</v>
      </c>
      <c r="K48" s="4" t="s">
        <v>989</v>
      </c>
    </row>
    <row r="49" spans="1:11" ht="18" customHeight="1" x14ac:dyDescent="0.2">
      <c r="A49" s="5" t="s">
        <v>1006</v>
      </c>
      <c r="B49" s="5" t="s">
        <v>988</v>
      </c>
      <c r="C49" s="5" t="s">
        <v>989</v>
      </c>
      <c r="D49" s="5" t="s">
        <v>989</v>
      </c>
      <c r="E49" s="5" t="s">
        <v>994</v>
      </c>
      <c r="F49" s="5" t="s">
        <v>988</v>
      </c>
      <c r="G49" s="5" t="s">
        <v>989</v>
      </c>
      <c r="H49" s="5" t="s">
        <v>989</v>
      </c>
      <c r="I49" s="5" t="s">
        <v>989</v>
      </c>
      <c r="J49" s="5" t="s">
        <v>989</v>
      </c>
      <c r="K49" s="5" t="s">
        <v>989</v>
      </c>
    </row>
    <row r="50" spans="1:11" ht="18" customHeight="1" x14ac:dyDescent="0.2">
      <c r="A50" s="4" t="s">
        <v>1007</v>
      </c>
      <c r="B50" s="4" t="s">
        <v>994</v>
      </c>
      <c r="C50" s="4" t="s">
        <v>988</v>
      </c>
      <c r="D50" s="4" t="s">
        <v>988</v>
      </c>
      <c r="E50" s="4" t="s">
        <v>988</v>
      </c>
      <c r="F50" s="4" t="s">
        <v>988</v>
      </c>
      <c r="G50" s="4" t="s">
        <v>988</v>
      </c>
      <c r="H50" s="4" t="s">
        <v>988</v>
      </c>
      <c r="I50" s="4" t="s">
        <v>989</v>
      </c>
      <c r="J50" s="4" t="s">
        <v>989</v>
      </c>
      <c r="K50" s="4" t="s">
        <v>988</v>
      </c>
    </row>
    <row r="51" spans="1:11" ht="18" customHeight="1" x14ac:dyDescent="0.2">
      <c r="A51" s="5" t="s">
        <v>1008</v>
      </c>
      <c r="B51" s="5" t="s">
        <v>994</v>
      </c>
      <c r="C51" s="5" t="s">
        <v>989</v>
      </c>
      <c r="D51" s="5" t="s">
        <v>989</v>
      </c>
      <c r="E51" s="5" t="s">
        <v>989</v>
      </c>
      <c r="F51" s="5" t="s">
        <v>989</v>
      </c>
      <c r="G51" s="5" t="s">
        <v>989</v>
      </c>
      <c r="H51" s="5" t="s">
        <v>989</v>
      </c>
      <c r="I51" s="5" t="s">
        <v>989</v>
      </c>
      <c r="J51" s="5" t="s">
        <v>989</v>
      </c>
      <c r="K51" s="5" t="s">
        <v>988</v>
      </c>
    </row>
    <row r="52" spans="1:11" ht="18" customHeight="1" x14ac:dyDescent="0.2">
      <c r="A52" s="4" t="s">
        <v>1009</v>
      </c>
      <c r="B52" s="4" t="s">
        <v>988</v>
      </c>
      <c r="C52" s="4" t="s">
        <v>989</v>
      </c>
      <c r="D52" s="4" t="s">
        <v>989</v>
      </c>
      <c r="E52" s="4" t="s">
        <v>990</v>
      </c>
      <c r="F52" s="4" t="s">
        <v>988</v>
      </c>
      <c r="G52" s="4" t="s">
        <v>989</v>
      </c>
      <c r="H52" s="4" t="s">
        <v>989</v>
      </c>
      <c r="I52" s="4" t="s">
        <v>989</v>
      </c>
      <c r="J52" s="4" t="s">
        <v>989</v>
      </c>
      <c r="K52" s="4" t="s">
        <v>987</v>
      </c>
    </row>
    <row r="53" spans="1:11" ht="18" customHeight="1" x14ac:dyDescent="0.2">
      <c r="A53" s="5" t="s">
        <v>1010</v>
      </c>
      <c r="B53" s="5" t="s">
        <v>990</v>
      </c>
      <c r="C53" s="5" t="s">
        <v>989</v>
      </c>
      <c r="D53" s="5" t="s">
        <v>989</v>
      </c>
      <c r="E53" s="5" t="s">
        <v>989</v>
      </c>
      <c r="F53" s="5" t="s">
        <v>989</v>
      </c>
      <c r="G53" s="5" t="s">
        <v>989</v>
      </c>
      <c r="H53" s="5" t="s">
        <v>989</v>
      </c>
      <c r="I53" s="5" t="s">
        <v>989</v>
      </c>
      <c r="J53" s="5" t="s">
        <v>989</v>
      </c>
      <c r="K53" s="5" t="s">
        <v>987</v>
      </c>
    </row>
    <row r="54" spans="1:11" ht="18" customHeight="1" x14ac:dyDescent="0.2">
      <c r="A54" s="4" t="s">
        <v>1011</v>
      </c>
      <c r="B54" s="4" t="s">
        <v>990</v>
      </c>
      <c r="C54" s="4" t="s">
        <v>989</v>
      </c>
      <c r="D54" s="4" t="s">
        <v>989</v>
      </c>
      <c r="E54" s="4" t="s">
        <v>988</v>
      </c>
      <c r="F54" s="4" t="s">
        <v>989</v>
      </c>
      <c r="G54" s="4" t="s">
        <v>989</v>
      </c>
      <c r="H54" s="4" t="s">
        <v>989</v>
      </c>
      <c r="I54" s="4" t="s">
        <v>989</v>
      </c>
      <c r="J54" s="4" t="s">
        <v>989</v>
      </c>
      <c r="K54" s="4" t="s">
        <v>987</v>
      </c>
    </row>
    <row r="55" spans="1:11" ht="18" customHeight="1" x14ac:dyDescent="0.2">
      <c r="A55" s="5" t="s">
        <v>1012</v>
      </c>
      <c r="B55" s="5" t="s">
        <v>990</v>
      </c>
      <c r="C55" s="5" t="s">
        <v>989</v>
      </c>
      <c r="D55" s="5" t="s">
        <v>989</v>
      </c>
      <c r="E55" s="5" t="s">
        <v>988</v>
      </c>
      <c r="F55" s="5" t="s">
        <v>989</v>
      </c>
      <c r="G55" s="5" t="s">
        <v>989</v>
      </c>
      <c r="H55" s="5" t="s">
        <v>989</v>
      </c>
      <c r="I55" s="5" t="s">
        <v>989</v>
      </c>
      <c r="J55" s="5" t="s">
        <v>989</v>
      </c>
      <c r="K55" s="5" t="s">
        <v>987</v>
      </c>
    </row>
    <row r="57" spans="1:11" ht="32" customHeight="1" x14ac:dyDescent="0.2">
      <c r="A57" s="105" t="s">
        <v>1013</v>
      </c>
      <c r="B57" s="103"/>
      <c r="C57" s="103"/>
      <c r="D57" s="103"/>
      <c r="E57" s="103"/>
      <c r="F57" s="103"/>
      <c r="G57" s="103"/>
      <c r="H57" s="103"/>
      <c r="I57" s="103"/>
      <c r="J57" s="103"/>
    </row>
    <row r="59" spans="1:11" ht="64" customHeight="1" x14ac:dyDescent="0.2">
      <c r="A59" s="105" t="s">
        <v>1014</v>
      </c>
      <c r="B59" s="103"/>
      <c r="C59" s="103"/>
      <c r="D59" s="103"/>
      <c r="E59" s="103"/>
      <c r="F59" s="103"/>
      <c r="G59" s="103"/>
      <c r="H59" s="103"/>
      <c r="I59" s="103"/>
      <c r="J59" s="103"/>
    </row>
  </sheetData>
  <mergeCells count="6">
    <mergeCell ref="A31:J31"/>
    <mergeCell ref="A57:J57"/>
    <mergeCell ref="A3:J3"/>
    <mergeCell ref="A28:J28"/>
    <mergeCell ref="A59:J59"/>
    <mergeCell ref="A18:J18"/>
  </mergeCell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98"/>
  <sheetViews>
    <sheetView workbookViewId="0">
      <pane ySplit="1" topLeftCell="A12" activePane="bottomLeft" state="frozen"/>
      <selection pane="bottomLeft" activeCell="A62" sqref="A62:F98"/>
    </sheetView>
  </sheetViews>
  <sheetFormatPr baseColWidth="10" defaultColWidth="8.83203125" defaultRowHeight="15" x14ac:dyDescent="0.2"/>
  <cols>
    <col min="1" max="1" width="18" customWidth="1"/>
    <col min="2" max="3" width="50" customWidth="1"/>
    <col min="4" max="4" width="24" customWidth="1"/>
    <col min="5" max="5" width="18" customWidth="1"/>
    <col min="6" max="6" width="50" customWidth="1"/>
    <col min="7" max="11" width="18" customWidth="1"/>
  </cols>
  <sheetData>
    <row r="1" spans="1:13" ht="28" customHeight="1" x14ac:dyDescent="0.2">
      <c r="A1" s="1" t="s">
        <v>1121</v>
      </c>
      <c r="H1" s="27" t="s">
        <v>1266</v>
      </c>
      <c r="I1" s="26" t="s">
        <v>1247</v>
      </c>
      <c r="J1" s="22" t="s">
        <v>1267</v>
      </c>
    </row>
    <row r="3" spans="1:13" ht="22" customHeight="1" x14ac:dyDescent="0.2">
      <c r="A3" s="104"/>
      <c r="B3" s="103"/>
      <c r="C3" s="103"/>
      <c r="D3" s="103"/>
      <c r="E3" s="103"/>
      <c r="F3" s="103"/>
      <c r="G3" s="103"/>
      <c r="H3" s="103"/>
      <c r="I3" s="103"/>
      <c r="J3" s="103"/>
    </row>
    <row r="4" spans="1:13" x14ac:dyDescent="0.2">
      <c r="L4" s="11" t="s">
        <v>1255</v>
      </c>
    </row>
    <row r="5" spans="1:13" ht="22" customHeight="1" x14ac:dyDescent="0.2">
      <c r="A5" s="2" t="s">
        <v>1122</v>
      </c>
      <c r="L5" s="9" t="s">
        <v>1126</v>
      </c>
      <c r="M5" s="9" t="s">
        <v>1256</v>
      </c>
    </row>
    <row r="6" spans="1:13" ht="32" customHeight="1" x14ac:dyDescent="0.2">
      <c r="A6" s="105" t="s">
        <v>1123</v>
      </c>
      <c r="B6" s="103"/>
      <c r="C6" s="103"/>
      <c r="D6" s="103"/>
      <c r="E6" s="103"/>
      <c r="F6" s="103"/>
      <c r="G6" s="103"/>
      <c r="H6" s="103"/>
      <c r="I6" s="103"/>
      <c r="J6" s="103"/>
      <c r="L6" t="s">
        <v>1130</v>
      </c>
      <c r="M6" s="32">
        <f>COUNTIF(E9:E25,"H+")</f>
        <v>3</v>
      </c>
    </row>
    <row r="7" spans="1:13" x14ac:dyDescent="0.2">
      <c r="L7" t="s">
        <v>129</v>
      </c>
      <c r="M7" s="32">
        <f>COUNTIF(E9:E25,"H")</f>
        <v>2</v>
      </c>
    </row>
    <row r="8" spans="1:13" ht="28" customHeight="1" x14ac:dyDescent="0.2">
      <c r="A8" s="3" t="s">
        <v>61</v>
      </c>
      <c r="B8" s="3" t="s">
        <v>1124</v>
      </c>
      <c r="C8" s="3" t="s">
        <v>1125</v>
      </c>
      <c r="D8" s="3" t="s">
        <v>989</v>
      </c>
      <c r="E8" s="3" t="s">
        <v>1126</v>
      </c>
      <c r="F8" s="3" t="s">
        <v>1127</v>
      </c>
      <c r="G8" s="3" t="s">
        <v>2</v>
      </c>
      <c r="H8" s="3" t="s">
        <v>65</v>
      </c>
      <c r="L8" t="s">
        <v>151</v>
      </c>
      <c r="M8" s="32">
        <f>COUNTIF(E9:E25,"M")</f>
        <v>12</v>
      </c>
    </row>
    <row r="9" spans="1:13" ht="64" customHeight="1" x14ac:dyDescent="0.2">
      <c r="A9" s="4" t="s">
        <v>1128</v>
      </c>
      <c r="B9" s="4" t="s">
        <v>1129</v>
      </c>
      <c r="C9" s="4" t="s">
        <v>129</v>
      </c>
      <c r="D9" s="4" t="s">
        <v>129</v>
      </c>
      <c r="E9" s="5" t="s">
        <v>1130</v>
      </c>
      <c r="F9" s="4" t="s">
        <v>1131</v>
      </c>
      <c r="G9" s="4" t="s">
        <v>36</v>
      </c>
      <c r="H9" s="5" t="s">
        <v>1132</v>
      </c>
      <c r="L9" t="s">
        <v>347</v>
      </c>
      <c r="M9" s="32">
        <f>COUNTIF(E9:E25,"L")</f>
        <v>0</v>
      </c>
    </row>
    <row r="10" spans="1:13" ht="64" customHeight="1" x14ac:dyDescent="0.2">
      <c r="A10" s="5" t="s">
        <v>1133</v>
      </c>
      <c r="B10" s="5" t="s">
        <v>1134</v>
      </c>
      <c r="C10" s="5" t="s">
        <v>129</v>
      </c>
      <c r="D10" s="5" t="s">
        <v>129</v>
      </c>
      <c r="E10" s="5" t="s">
        <v>1130</v>
      </c>
      <c r="F10" s="5" t="s">
        <v>1365</v>
      </c>
      <c r="G10" s="5" t="s">
        <v>765</v>
      </c>
      <c r="H10" s="5" t="s">
        <v>1132</v>
      </c>
    </row>
    <row r="11" spans="1:13" ht="80" customHeight="1" x14ac:dyDescent="0.2">
      <c r="A11" s="4" t="s">
        <v>1135</v>
      </c>
      <c r="B11" s="4" t="s">
        <v>1341</v>
      </c>
      <c r="C11" s="4" t="s">
        <v>151</v>
      </c>
      <c r="D11" s="4" t="s">
        <v>129</v>
      </c>
      <c r="E11" s="4" t="s">
        <v>129</v>
      </c>
      <c r="F11" s="4" t="s">
        <v>1342</v>
      </c>
      <c r="G11" s="4" t="s">
        <v>36</v>
      </c>
      <c r="H11" s="4" t="s">
        <v>1132</v>
      </c>
    </row>
    <row r="12" spans="1:13" ht="64" customHeight="1" x14ac:dyDescent="0.2">
      <c r="A12" s="5" t="s">
        <v>1136</v>
      </c>
      <c r="B12" s="5" t="s">
        <v>1137</v>
      </c>
      <c r="C12" s="5" t="s">
        <v>151</v>
      </c>
      <c r="D12" s="5" t="s">
        <v>151</v>
      </c>
      <c r="E12" s="5" t="s">
        <v>151</v>
      </c>
      <c r="F12" s="5" t="s">
        <v>1138</v>
      </c>
      <c r="G12" s="5" t="s">
        <v>48</v>
      </c>
      <c r="H12" s="5" t="s">
        <v>1132</v>
      </c>
    </row>
    <row r="13" spans="1:13" ht="48" customHeight="1" x14ac:dyDescent="0.2">
      <c r="A13" s="4" t="s">
        <v>1139</v>
      </c>
      <c r="B13" s="4" t="s">
        <v>1140</v>
      </c>
      <c r="C13" s="4" t="s">
        <v>151</v>
      </c>
      <c r="D13" s="4" t="s">
        <v>151</v>
      </c>
      <c r="E13" s="4" t="s">
        <v>151</v>
      </c>
      <c r="F13" s="4" t="s">
        <v>1141</v>
      </c>
      <c r="G13" s="4" t="s">
        <v>51</v>
      </c>
      <c r="H13" s="4" t="s">
        <v>1132</v>
      </c>
    </row>
    <row r="14" spans="1:13" ht="64" customHeight="1" x14ac:dyDescent="0.2">
      <c r="A14" s="5" t="s">
        <v>1142</v>
      </c>
      <c r="B14" s="5" t="s">
        <v>1143</v>
      </c>
      <c r="C14" s="5" t="s">
        <v>151</v>
      </c>
      <c r="D14" s="5" t="s">
        <v>129</v>
      </c>
      <c r="E14" s="5" t="s">
        <v>129</v>
      </c>
      <c r="F14" s="5" t="s">
        <v>1353</v>
      </c>
      <c r="G14" s="5" t="s">
        <v>1356</v>
      </c>
      <c r="H14" s="5" t="s">
        <v>1132</v>
      </c>
    </row>
    <row r="15" spans="1:13" ht="112" customHeight="1" x14ac:dyDescent="0.2">
      <c r="A15" s="4" t="s">
        <v>1144</v>
      </c>
      <c r="B15" s="4" t="s">
        <v>1145</v>
      </c>
      <c r="C15" s="4" t="s">
        <v>151</v>
      </c>
      <c r="D15" s="4" t="s">
        <v>129</v>
      </c>
      <c r="E15" s="4" t="s">
        <v>1130</v>
      </c>
      <c r="F15" s="4" t="s">
        <v>1357</v>
      </c>
      <c r="G15" s="4" t="s">
        <v>1146</v>
      </c>
      <c r="H15" s="4" t="s">
        <v>1132</v>
      </c>
    </row>
    <row r="16" spans="1:13" ht="80" customHeight="1" x14ac:dyDescent="0.2">
      <c r="A16" s="5" t="s">
        <v>1147</v>
      </c>
      <c r="B16" s="5" t="s">
        <v>1148</v>
      </c>
      <c r="C16" s="5" t="s">
        <v>151</v>
      </c>
      <c r="D16" s="5" t="s">
        <v>151</v>
      </c>
      <c r="E16" s="5" t="s">
        <v>151</v>
      </c>
      <c r="F16" s="5" t="s">
        <v>1149</v>
      </c>
      <c r="G16" s="5" t="s">
        <v>51</v>
      </c>
      <c r="H16" s="5" t="s">
        <v>1132</v>
      </c>
    </row>
    <row r="17" spans="1:10" ht="80" customHeight="1" x14ac:dyDescent="0.2">
      <c r="A17" s="4" t="s">
        <v>1150</v>
      </c>
      <c r="B17" s="4" t="s">
        <v>1151</v>
      </c>
      <c r="C17" s="4" t="s">
        <v>151</v>
      </c>
      <c r="D17" s="4" t="s">
        <v>151</v>
      </c>
      <c r="E17" s="4" t="s">
        <v>151</v>
      </c>
      <c r="F17" s="4" t="s">
        <v>1152</v>
      </c>
      <c r="G17" s="4" t="s">
        <v>130</v>
      </c>
      <c r="H17" s="4" t="s">
        <v>1132</v>
      </c>
    </row>
    <row r="18" spans="1:10" ht="64" customHeight="1" x14ac:dyDescent="0.2">
      <c r="A18" s="5" t="s">
        <v>1153</v>
      </c>
      <c r="B18" s="5" t="s">
        <v>1154</v>
      </c>
      <c r="C18" s="5" t="s">
        <v>151</v>
      </c>
      <c r="D18" s="5" t="s">
        <v>129</v>
      </c>
      <c r="E18" s="5" t="s">
        <v>151</v>
      </c>
      <c r="F18" s="5" t="s">
        <v>1155</v>
      </c>
      <c r="G18" s="5" t="s">
        <v>1156</v>
      </c>
      <c r="H18" s="5" t="s">
        <v>1132</v>
      </c>
    </row>
    <row r="19" spans="1:10" ht="80" customHeight="1" x14ac:dyDescent="0.2">
      <c r="A19" s="4" t="s">
        <v>1157</v>
      </c>
      <c r="B19" s="4" t="s">
        <v>1158</v>
      </c>
      <c r="C19" s="4" t="s">
        <v>151</v>
      </c>
      <c r="D19" s="4" t="s">
        <v>151</v>
      </c>
      <c r="E19" s="4" t="s">
        <v>151</v>
      </c>
      <c r="F19" s="4" t="s">
        <v>1159</v>
      </c>
      <c r="G19" s="4" t="s">
        <v>1160</v>
      </c>
      <c r="H19" s="4" t="s">
        <v>1132</v>
      </c>
    </row>
    <row r="20" spans="1:10" ht="80" customHeight="1" x14ac:dyDescent="0.2">
      <c r="A20" s="5" t="s">
        <v>1161</v>
      </c>
      <c r="B20" s="5" t="s">
        <v>1162</v>
      </c>
      <c r="C20" s="5" t="s">
        <v>151</v>
      </c>
      <c r="D20" s="5" t="s">
        <v>151</v>
      </c>
      <c r="E20" s="5" t="s">
        <v>151</v>
      </c>
      <c r="F20" s="5" t="s">
        <v>1163</v>
      </c>
      <c r="G20" s="5" t="s">
        <v>1164</v>
      </c>
      <c r="H20" s="5" t="s">
        <v>1132</v>
      </c>
    </row>
    <row r="21" spans="1:10" ht="64" customHeight="1" x14ac:dyDescent="0.2">
      <c r="A21" s="4" t="s">
        <v>1165</v>
      </c>
      <c r="B21" s="4" t="s">
        <v>1351</v>
      </c>
      <c r="C21" s="4" t="s">
        <v>129</v>
      </c>
      <c r="D21" s="4" t="s">
        <v>151</v>
      </c>
      <c r="E21" s="4" t="s">
        <v>151</v>
      </c>
      <c r="F21" s="4" t="s">
        <v>1352</v>
      </c>
      <c r="G21" s="4" t="s">
        <v>36</v>
      </c>
      <c r="H21" s="4" t="s">
        <v>1132</v>
      </c>
    </row>
    <row r="22" spans="1:10" ht="64" customHeight="1" x14ac:dyDescent="0.2">
      <c r="A22" s="5" t="s">
        <v>1166</v>
      </c>
      <c r="B22" s="5" t="s">
        <v>1167</v>
      </c>
      <c r="C22" s="5" t="s">
        <v>151</v>
      </c>
      <c r="D22" s="5" t="s">
        <v>129</v>
      </c>
      <c r="E22" s="5" t="s">
        <v>151</v>
      </c>
      <c r="F22" s="5" t="s">
        <v>1168</v>
      </c>
      <c r="G22" s="5" t="s">
        <v>1169</v>
      </c>
      <c r="H22" s="5" t="s">
        <v>1132</v>
      </c>
    </row>
    <row r="23" spans="1:10" ht="80" customHeight="1" x14ac:dyDescent="0.2">
      <c r="A23" s="4" t="s">
        <v>1170</v>
      </c>
      <c r="B23" s="4" t="s">
        <v>1171</v>
      </c>
      <c r="C23" s="4" t="s">
        <v>151</v>
      </c>
      <c r="D23" s="4" t="s">
        <v>151</v>
      </c>
      <c r="E23" s="4" t="s">
        <v>151</v>
      </c>
      <c r="F23" s="4" t="s">
        <v>1361</v>
      </c>
      <c r="G23" s="4" t="s">
        <v>1172</v>
      </c>
      <c r="H23" s="4" t="s">
        <v>1132</v>
      </c>
    </row>
    <row r="24" spans="1:10" ht="64" customHeight="1" x14ac:dyDescent="0.2">
      <c r="A24" s="5" t="s">
        <v>1173</v>
      </c>
      <c r="B24" s="5" t="s">
        <v>1174</v>
      </c>
      <c r="C24" s="5" t="s">
        <v>151</v>
      </c>
      <c r="D24" s="5" t="s">
        <v>129</v>
      </c>
      <c r="E24" s="5" t="s">
        <v>151</v>
      </c>
      <c r="F24" s="5" t="s">
        <v>1175</v>
      </c>
      <c r="G24" s="5" t="s">
        <v>765</v>
      </c>
      <c r="H24" s="5" t="s">
        <v>1132</v>
      </c>
    </row>
    <row r="25" spans="1:10" ht="64" customHeight="1" x14ac:dyDescent="0.2">
      <c r="A25" s="4" t="s">
        <v>1176</v>
      </c>
      <c r="B25" s="4" t="s">
        <v>1177</v>
      </c>
      <c r="C25" s="4" t="s">
        <v>151</v>
      </c>
      <c r="D25" s="4" t="s">
        <v>151</v>
      </c>
      <c r="E25" s="4" t="s">
        <v>151</v>
      </c>
      <c r="F25" s="4" t="s">
        <v>1178</v>
      </c>
      <c r="G25" s="4" t="s">
        <v>796</v>
      </c>
      <c r="H25" s="4" t="s">
        <v>1132</v>
      </c>
    </row>
    <row r="27" spans="1:10" ht="22" customHeight="1" x14ac:dyDescent="0.2">
      <c r="A27" s="2" t="s">
        <v>1179</v>
      </c>
    </row>
    <row r="28" spans="1:10" ht="32" customHeight="1" x14ac:dyDescent="0.2">
      <c r="A28" s="105" t="s">
        <v>1180</v>
      </c>
      <c r="B28" s="103"/>
      <c r="C28" s="103"/>
      <c r="D28" s="103"/>
      <c r="E28" s="103"/>
      <c r="F28" s="103"/>
      <c r="G28" s="103"/>
      <c r="H28" s="103"/>
      <c r="I28" s="103"/>
      <c r="J28" s="103"/>
    </row>
    <row r="30" spans="1:10" ht="28" customHeight="1" x14ac:dyDescent="0.2">
      <c r="A30" s="14"/>
      <c r="B30" s="15" t="s">
        <v>1181</v>
      </c>
      <c r="C30" s="15" t="s">
        <v>1182</v>
      </c>
      <c r="D30" s="15" t="s">
        <v>1183</v>
      </c>
    </row>
    <row r="31" spans="1:10" ht="18" customHeight="1" x14ac:dyDescent="0.2">
      <c r="A31" s="16" t="s">
        <v>1184</v>
      </c>
      <c r="B31" s="17" t="s">
        <v>536</v>
      </c>
      <c r="C31" s="18" t="s">
        <v>1165</v>
      </c>
      <c r="D31" s="19" t="s">
        <v>1345</v>
      </c>
    </row>
    <row r="32" spans="1:10" ht="32" customHeight="1" x14ac:dyDescent="0.2">
      <c r="A32" s="16" t="s">
        <v>1185</v>
      </c>
      <c r="B32" s="20" t="s">
        <v>536</v>
      </c>
      <c r="C32" s="17" t="s">
        <v>1354</v>
      </c>
      <c r="D32" s="21" t="s">
        <v>1355</v>
      </c>
    </row>
    <row r="33" spans="1:10" ht="18" customHeight="1" x14ac:dyDescent="0.2">
      <c r="A33" s="16" t="s">
        <v>1186</v>
      </c>
      <c r="B33" s="20" t="s">
        <v>536</v>
      </c>
      <c r="C33" s="20" t="s">
        <v>536</v>
      </c>
      <c r="D33" s="17" t="s">
        <v>536</v>
      </c>
    </row>
    <row r="35" spans="1:10" ht="22" customHeight="1" x14ac:dyDescent="0.2">
      <c r="A35" s="2" t="s">
        <v>1187</v>
      </c>
    </row>
    <row r="36" spans="1:10" ht="32" customHeight="1" x14ac:dyDescent="0.2">
      <c r="A36" s="105" t="s">
        <v>1188</v>
      </c>
      <c r="B36" s="103"/>
      <c r="C36" s="103"/>
      <c r="D36" s="103"/>
      <c r="E36" s="103"/>
      <c r="F36" s="103"/>
      <c r="G36" s="103"/>
      <c r="H36" s="103"/>
      <c r="I36" s="103"/>
      <c r="J36" s="103"/>
    </row>
    <row r="38" spans="1:10" ht="28" customHeight="1" x14ac:dyDescent="0.2">
      <c r="A38" s="3" t="s">
        <v>1189</v>
      </c>
      <c r="B38" s="3" t="s">
        <v>735</v>
      </c>
      <c r="C38" s="3" t="s">
        <v>762</v>
      </c>
      <c r="D38" s="3" t="s">
        <v>2</v>
      </c>
      <c r="E38" s="3" t="s">
        <v>65</v>
      </c>
      <c r="F38" s="3" t="s">
        <v>1190</v>
      </c>
    </row>
    <row r="39" spans="1:10" ht="18" customHeight="1" x14ac:dyDescent="0.2">
      <c r="A39" s="4" t="s">
        <v>1191</v>
      </c>
      <c r="B39" s="4" t="s">
        <v>1192</v>
      </c>
      <c r="C39" s="4" t="s">
        <v>536</v>
      </c>
      <c r="D39" s="4" t="s">
        <v>536</v>
      </c>
      <c r="E39" s="4" t="s">
        <v>536</v>
      </c>
      <c r="F39" s="4" t="s">
        <v>536</v>
      </c>
    </row>
    <row r="41" spans="1:10" ht="20" customHeight="1" x14ac:dyDescent="0.2">
      <c r="A41" s="7" t="s">
        <v>1193</v>
      </c>
    </row>
    <row r="42" spans="1:10" ht="28" customHeight="1" x14ac:dyDescent="0.2">
      <c r="A42" s="3" t="s">
        <v>762</v>
      </c>
      <c r="B42" s="3" t="s">
        <v>1194</v>
      </c>
      <c r="C42" s="3" t="s">
        <v>1195</v>
      </c>
    </row>
    <row r="43" spans="1:10" ht="18" customHeight="1" x14ac:dyDescent="0.2">
      <c r="A43" s="4" t="s">
        <v>1196</v>
      </c>
      <c r="B43" s="4" t="s">
        <v>1197</v>
      </c>
      <c r="C43" s="4" t="s">
        <v>1198</v>
      </c>
    </row>
    <row r="44" spans="1:10" ht="18" customHeight="1" x14ac:dyDescent="0.2">
      <c r="A44" s="5" t="s">
        <v>1199</v>
      </c>
      <c r="B44" s="5" t="s">
        <v>1200</v>
      </c>
      <c r="C44" s="5" t="s">
        <v>1201</v>
      </c>
    </row>
    <row r="45" spans="1:10" ht="18" customHeight="1" x14ac:dyDescent="0.2">
      <c r="A45" s="4" t="s">
        <v>1202</v>
      </c>
      <c r="B45" s="4" t="s">
        <v>1203</v>
      </c>
      <c r="C45" s="4" t="s">
        <v>1204</v>
      </c>
    </row>
    <row r="46" spans="1:10" ht="18" customHeight="1" x14ac:dyDescent="0.2">
      <c r="A46" s="5" t="s">
        <v>1205</v>
      </c>
      <c r="B46" s="5" t="s">
        <v>1206</v>
      </c>
      <c r="C46" s="5" t="s">
        <v>1207</v>
      </c>
    </row>
    <row r="48" spans="1:10" ht="22" customHeight="1" x14ac:dyDescent="0.2">
      <c r="A48" s="2" t="s">
        <v>1208</v>
      </c>
    </row>
    <row r="49" spans="1:10" ht="18" customHeight="1" x14ac:dyDescent="0.2">
      <c r="A49" s="105" t="s">
        <v>1209</v>
      </c>
      <c r="B49" s="103"/>
      <c r="C49" s="103"/>
      <c r="D49" s="103"/>
      <c r="E49" s="103"/>
      <c r="F49" s="103"/>
      <c r="G49" s="103"/>
      <c r="H49" s="103"/>
      <c r="I49" s="103"/>
      <c r="J49" s="103"/>
    </row>
    <row r="51" spans="1:10" ht="32" customHeight="1" x14ac:dyDescent="0.2">
      <c r="A51" s="102" t="s">
        <v>1210</v>
      </c>
      <c r="B51" s="103"/>
      <c r="C51" s="103"/>
      <c r="D51" s="103"/>
      <c r="E51" s="103"/>
      <c r="F51" s="103"/>
      <c r="G51" s="103"/>
      <c r="H51" s="103"/>
      <c r="I51" s="103"/>
      <c r="J51" s="103"/>
    </row>
    <row r="52" spans="1:10" ht="32" customHeight="1" x14ac:dyDescent="0.2">
      <c r="A52" s="102" t="s">
        <v>1211</v>
      </c>
      <c r="B52" s="103"/>
      <c r="C52" s="103"/>
      <c r="D52" s="103"/>
      <c r="E52" s="103"/>
      <c r="F52" s="103"/>
      <c r="G52" s="103"/>
      <c r="H52" s="103"/>
      <c r="I52" s="103"/>
      <c r="J52" s="103"/>
    </row>
    <row r="53" spans="1:10" ht="32" customHeight="1" x14ac:dyDescent="0.2">
      <c r="A53" s="102" t="s">
        <v>1212</v>
      </c>
      <c r="B53" s="103"/>
      <c r="C53" s="103"/>
      <c r="D53" s="103"/>
      <c r="E53" s="103"/>
      <c r="F53" s="103"/>
      <c r="G53" s="103"/>
      <c r="H53" s="103"/>
      <c r="I53" s="103"/>
      <c r="J53" s="103"/>
    </row>
    <row r="54" spans="1:10" ht="32" customHeight="1" x14ac:dyDescent="0.2">
      <c r="A54" s="102" t="s">
        <v>1213</v>
      </c>
      <c r="B54" s="103"/>
      <c r="C54" s="103"/>
      <c r="D54" s="103"/>
      <c r="E54" s="103"/>
      <c r="F54" s="103"/>
      <c r="G54" s="103"/>
      <c r="H54" s="103"/>
      <c r="I54" s="103"/>
      <c r="J54" s="103"/>
    </row>
    <row r="56" spans="1:10" ht="20" customHeight="1" x14ac:dyDescent="0.2">
      <c r="A56" s="7" t="s">
        <v>1214</v>
      </c>
    </row>
    <row r="57" spans="1:10" ht="18" customHeight="1" x14ac:dyDescent="0.2">
      <c r="A57" s="102" t="s">
        <v>1215</v>
      </c>
      <c r="B57" s="103"/>
      <c r="C57" s="103"/>
      <c r="D57" s="103"/>
      <c r="E57" s="103"/>
      <c r="F57" s="103"/>
      <c r="G57" s="103"/>
      <c r="H57" s="103"/>
      <c r="I57" s="103"/>
      <c r="J57" s="103"/>
    </row>
    <row r="58" spans="1:10" ht="18" customHeight="1" x14ac:dyDescent="0.2">
      <c r="A58" s="102" t="s">
        <v>1216</v>
      </c>
      <c r="B58" s="103"/>
      <c r="C58" s="103"/>
      <c r="D58" s="103"/>
      <c r="E58" s="103"/>
      <c r="F58" s="103"/>
      <c r="G58" s="103"/>
      <c r="H58" s="103"/>
      <c r="I58" s="103"/>
      <c r="J58" s="103"/>
    </row>
    <row r="59" spans="1:10" ht="18" customHeight="1" x14ac:dyDescent="0.2">
      <c r="A59" s="102" t="s">
        <v>1217</v>
      </c>
      <c r="B59" s="103"/>
      <c r="C59" s="103"/>
      <c r="D59" s="103"/>
      <c r="E59" s="103"/>
      <c r="F59" s="103"/>
      <c r="G59" s="103"/>
      <c r="H59" s="103"/>
      <c r="I59" s="103"/>
      <c r="J59" s="103"/>
    </row>
    <row r="60" spans="1:10" ht="18" customHeight="1" x14ac:dyDescent="0.2">
      <c r="A60" s="102" t="s">
        <v>1218</v>
      </c>
      <c r="B60" s="103"/>
      <c r="C60" s="103"/>
      <c r="D60" s="103"/>
      <c r="E60" s="103"/>
      <c r="F60" s="103"/>
      <c r="G60" s="103"/>
      <c r="H60" s="103"/>
      <c r="I60" s="103"/>
      <c r="J60" s="103"/>
    </row>
    <row r="65" spans="7:7" x14ac:dyDescent="0.2">
      <c r="G65" t="s">
        <v>65</v>
      </c>
    </row>
    <row r="66" spans="7:7" x14ac:dyDescent="0.2">
      <c r="G66" t="s">
        <v>1132</v>
      </c>
    </row>
    <row r="67" spans="7:7" x14ac:dyDescent="0.2">
      <c r="G67" t="s">
        <v>1132</v>
      </c>
    </row>
    <row r="68" spans="7:7" x14ac:dyDescent="0.2">
      <c r="G68" t="s">
        <v>1132</v>
      </c>
    </row>
    <row r="69" spans="7:7" x14ac:dyDescent="0.2">
      <c r="G69" t="s">
        <v>1132</v>
      </c>
    </row>
    <row r="70" spans="7:7" x14ac:dyDescent="0.2">
      <c r="G70" t="s">
        <v>1132</v>
      </c>
    </row>
    <row r="74" spans="7:7" x14ac:dyDescent="0.2">
      <c r="G74" t="s">
        <v>65</v>
      </c>
    </row>
    <row r="75" spans="7:7" x14ac:dyDescent="0.2">
      <c r="G75" t="s">
        <v>1132</v>
      </c>
    </row>
    <row r="76" spans="7:7" x14ac:dyDescent="0.2">
      <c r="G76" t="s">
        <v>1132</v>
      </c>
    </row>
    <row r="77" spans="7:7" x14ac:dyDescent="0.2">
      <c r="G77" t="s">
        <v>1132</v>
      </c>
    </row>
    <row r="78" spans="7:7" x14ac:dyDescent="0.2">
      <c r="G78" t="s">
        <v>1132</v>
      </c>
    </row>
    <row r="79" spans="7:7" x14ac:dyDescent="0.2">
      <c r="G79" t="s">
        <v>1132</v>
      </c>
    </row>
    <row r="80" spans="7:7" x14ac:dyDescent="0.2">
      <c r="G80" t="s">
        <v>1132</v>
      </c>
    </row>
    <row r="84" spans="7:7" x14ac:dyDescent="0.2">
      <c r="G84" t="s">
        <v>65</v>
      </c>
    </row>
    <row r="85" spans="7:7" x14ac:dyDescent="0.2">
      <c r="G85" t="s">
        <v>1132</v>
      </c>
    </row>
    <row r="86" spans="7:7" x14ac:dyDescent="0.2">
      <c r="G86" t="s">
        <v>1132</v>
      </c>
    </row>
    <row r="87" spans="7:7" x14ac:dyDescent="0.2">
      <c r="G87" t="s">
        <v>1132</v>
      </c>
    </row>
    <row r="88" spans="7:7" x14ac:dyDescent="0.2">
      <c r="G88" t="s">
        <v>1132</v>
      </c>
    </row>
    <row r="89" spans="7:7" x14ac:dyDescent="0.2">
      <c r="G89" t="s">
        <v>1132</v>
      </c>
    </row>
    <row r="93" spans="7:7" x14ac:dyDescent="0.2">
      <c r="G93" t="s">
        <v>65</v>
      </c>
    </row>
    <row r="94" spans="7:7" x14ac:dyDescent="0.2">
      <c r="G94" t="s">
        <v>1132</v>
      </c>
    </row>
    <row r="95" spans="7:7" x14ac:dyDescent="0.2">
      <c r="G95" t="s">
        <v>1132</v>
      </c>
    </row>
    <row r="96" spans="7:7" x14ac:dyDescent="0.2">
      <c r="G96" t="s">
        <v>1132</v>
      </c>
    </row>
    <row r="97" spans="7:7" x14ac:dyDescent="0.2">
      <c r="G97" t="s">
        <v>1132</v>
      </c>
    </row>
    <row r="98" spans="7:7" x14ac:dyDescent="0.2">
      <c r="G98" t="s">
        <v>1132</v>
      </c>
    </row>
  </sheetData>
  <mergeCells count="13">
    <mergeCell ref="A60:J60"/>
    <mergeCell ref="A49:J49"/>
    <mergeCell ref="A59:J59"/>
    <mergeCell ref="A51:J51"/>
    <mergeCell ref="A57:J57"/>
    <mergeCell ref="A54:J54"/>
    <mergeCell ref="A52:J52"/>
    <mergeCell ref="A36:J36"/>
    <mergeCell ref="A6:J6"/>
    <mergeCell ref="A58:J58"/>
    <mergeCell ref="A3:J3"/>
    <mergeCell ref="A53:J53"/>
    <mergeCell ref="A28:J28"/>
  </mergeCells>
  <conditionalFormatting sqref="C10:D26">
    <cfRule type="cellIs" dxfId="9" priority="8" operator="equal">
      <formula>"H"</formula>
    </cfRule>
    <cfRule type="cellIs" dxfId="8" priority="9" operator="equal">
      <formula>"M"</formula>
    </cfRule>
    <cfRule type="cellIs" dxfId="7" priority="10" operator="equal">
      <formula>"L"</formula>
    </cfRule>
  </conditionalFormatting>
  <conditionalFormatting sqref="E9:E26">
    <cfRule type="cellIs" dxfId="6" priority="1" operator="equal">
      <formula>"H+"</formula>
    </cfRule>
    <cfRule type="cellIs" dxfId="5" priority="2" operator="equal">
      <formula>"H"</formula>
    </cfRule>
    <cfRule type="cellIs" dxfId="4" priority="3" operator="equal">
      <formula>"M"</formula>
    </cfRule>
    <cfRule type="cellIs" dxfId="3" priority="4" operator="equal">
      <formula>"L"</formula>
    </cfRule>
  </conditionalFormatting>
  <conditionalFormatting sqref="H9:H26">
    <cfRule type="containsText" dxfId="2" priority="5" operator="containsText" text="Open">
      <formula>NOT(ISERROR(SEARCH("Open",H9)))</formula>
    </cfRule>
    <cfRule type="containsText" dxfId="1" priority="6" operator="containsText" text="Closed">
      <formula>NOT(ISERROR(SEARCH("Closed",H9)))</formula>
    </cfRule>
    <cfRule type="containsText" dxfId="0" priority="7" operator="containsText" text="Escalated">
      <formula>NOT(ISERROR(SEARCH("Escalated",H9)))</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00-TOC</vt:lpstr>
      <vt:lpstr>01-Charter</vt:lpstr>
      <vt:lpstr>02-Scope</vt:lpstr>
      <vt:lpstr>03-Approach</vt:lpstr>
      <vt:lpstr>04-Timeline</vt:lpstr>
      <vt:lpstr>04b-Gantt</vt:lpstr>
      <vt:lpstr>05-DCA</vt:lpstr>
      <vt:lpstr>06-RACI</vt:lpstr>
      <vt:lpstr>07-Risks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Canh Ta</cp:lastModifiedBy>
  <dcterms:created xsi:type="dcterms:W3CDTF">2026-04-21T06:08:03Z</dcterms:created>
  <dcterms:modified xsi:type="dcterms:W3CDTF">2026-04-24T07:40:36Z</dcterms:modified>
</cp:coreProperties>
</file>