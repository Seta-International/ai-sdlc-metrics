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4" activeTab="4" autoFilterDateGrouping="1"/>
  </bookViews>
  <sheets>
    <sheet xmlns:r="http://schemas.openxmlformats.org/officeDocument/2006/relationships" name="1. Guide" sheetId="1" state="visible" r:id="rId1"/>
    <sheet xmlns:r="http://schemas.openxmlformats.org/officeDocument/2006/relationships" name="2. Projects" sheetId="2" state="visible" r:id="rId2"/>
    <sheet xmlns:r="http://schemas.openxmlformats.org/officeDocument/2006/relationships" name="10. Thresholds" sheetId="3" state="hidden" r:id="rId3"/>
    <sheet xmlns:r="http://schemas.openxmlformats.org/officeDocument/2006/relationships" name="3. Monthly" sheetId="4" state="visible" r:id="rId4"/>
    <sheet xmlns:r="http://schemas.openxmlformats.org/officeDocument/2006/relationships" name="4. Quarterly" sheetId="5" state="visible" r:id="rId5"/>
    <sheet xmlns:r="http://schemas.openxmlformats.org/officeDocument/2006/relationships" name="5. Metrics" sheetId="6" state="visible" r:id="rId6"/>
    <sheet xmlns:r="http://schemas.openxmlformats.org/officeDocument/2006/relationships" name="6. Levels" sheetId="7" state="visible" r:id="rId7"/>
    <sheet xmlns:r="http://schemas.openxmlformats.org/officeDocument/2006/relationships" name="7. SelfAssessment" sheetId="8" state="visible" r:id="rId8"/>
    <sheet xmlns:r="http://schemas.openxmlformats.org/officeDocument/2006/relationships" name="8. Dashboard-Project" sheetId="9" state="visible" r:id="rId9"/>
    <sheet xmlns:r="http://schemas.openxmlformats.org/officeDocument/2006/relationships" name="9. Dashboard-Portfolio" sheetId="10" state="visible" r:id="rId10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1F4E79"/>
      <sz val="16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sz val="9"/>
    </font>
    <font>
      <name val="Arial"/>
      <charset val="1"/>
      <color rgb="FF0563C1"/>
      <sz val="9"/>
      <u val="single"/>
    </font>
    <font>
      <name val="Arial"/>
      <charset val="1"/>
      <b val="1"/>
      <color rgb="FF2E75B6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1F4E79"/>
      <sz val="13"/>
    </font>
    <font>
      <name val="Arial"/>
      <charset val="1"/>
      <b val="1"/>
      <color rgb="FF1F4E79"/>
      <sz val="12"/>
    </font>
    <font>
      <name val="Arial"/>
      <charset val="1"/>
      <i val="1"/>
      <color rgb="FF595959"/>
      <sz val="9"/>
    </font>
    <font>
      <name val="Arial"/>
      <charset val="1"/>
      <b val="1"/>
      <color rgb="FF2E75B6"/>
      <sz val="11"/>
    </font>
  </fonts>
  <fills count="11">
    <fill>
      <patternFill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4A7EBB"/>
      </patternFill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7D5FA0"/>
      </patternFill>
    </fill>
    <fill>
      <patternFill patternType="solid">
        <fgColor rgb="FF7F7F7F"/>
        <bgColor rgb="FF878787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8" fillId="7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9" fillId="0" borderId="0" pivotButton="0" quotePrefix="0" xfId="0"/>
    <xf numFmtId="0" fontId="2" fillId="3" borderId="2" pivotButton="0" quotePrefix="0" xfId="0"/>
    <xf numFmtId="0" fontId="0" fillId="3" borderId="2" pivotButton="0" quotePrefix="0" xfId="0"/>
    <xf numFmtId="0" fontId="10" fillId="0" borderId="0" pivotButton="0" quotePrefix="0" xfId="0"/>
    <xf numFmtId="9" fontId="2" fillId="3" borderId="2" pivotButton="0" quotePrefix="0" xfId="0"/>
    <xf numFmtId="0" fontId="4" fillId="0" borderId="0" pivotButton="0" quotePrefix="0" xfId="0"/>
    <xf numFmtId="164" fontId="4" fillId="3" borderId="2" applyAlignment="1" pivotButton="0" quotePrefix="0" xfId="0">
      <alignment horizontal="center" vertical="center" wrapText="1"/>
    </xf>
    <xf numFmtId="9" fontId="4" fillId="3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0" fillId="4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6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3" fillId="3" borderId="2" pivotButton="0" quotePrefix="0" xfId="0"/>
    <xf numFmtId="0" fontId="3" fillId="0" borderId="2" pivotButton="0" quotePrefix="0" xfId="0"/>
    <xf numFmtId="0" fontId="4" fillId="0" borderId="2" applyAlignment="1" pivotButton="0" quotePrefix="0" xfId="0">
      <alignment horizontal="left" vertical="top" wrapText="1"/>
    </xf>
    <xf numFmtId="0" fontId="3" fillId="2" borderId="2" pivotButton="0" quotePrefix="0" xfId="0"/>
    <xf numFmtId="0" fontId="3" fillId="2" borderId="2" applyAlignment="1" pivotButton="0" quotePrefix="0" xfId="0">
      <alignment horizontal="center" vertical="center" wrapText="1"/>
    </xf>
    <xf numFmtId="0" fontId="12" fillId="0" borderId="0" pivotButton="0" quotePrefix="0" xfId="0"/>
    <xf numFmtId="165" fontId="4" fillId="0" borderId="2" pivotButton="0" quotePrefix="0" xfId="0"/>
    <xf numFmtId="9" fontId="4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0" fontId="7" fillId="6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8B855"/>
      <rgbColor rgb="FFFFCC00"/>
      <rgbColor rgb="FFFF9900"/>
      <rgbColor rgb="FFFF6600"/>
      <rgbColor rgb="FF7D5FA0"/>
      <rgbColor rgb="FF878787"/>
      <rgbColor rgb="FF003366"/>
      <rgbColor rgb="FF4A7EBB"/>
      <rgbColor rgb="FF003300"/>
      <rgbColor rgb="FF333300"/>
      <rgbColor rgb="FF993300"/>
      <rgbColor rgb="FF7030A0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— 5 dimensions</a:t>
            </a:r>
          </a:p>
        </rich>
      </tx>
    </title>
    <plotArea>
      <radarChart>
        <radarStyle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Dashboard-Project'!$A$7:$A$11</f>
            </numRef>
          </cat>
          <val>
            <numRef>
              <f>'8. Dashboard-Project'!$B$7:$B$11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(usage / AI-PR % / CFR / rework)</a:t>
            </a:r>
          </a:p>
        </rich>
      </tx>
    </title>
    <plotArea>
      <lineChart>
        <grouping val="standard"/>
        <ser>
          <idx val="0"/>
          <order val="0"/>
          <tx>
            <strRef>
              <f>'8. Dashboard-Project'!B20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Dashboard-Project'!$B$21:$B$32</f>
            </numRef>
          </val>
        </ser>
        <ser>
          <idx val="1"/>
          <order val="1"/>
          <tx>
            <strRef>
              <f>'8. Dashboard-Project'!C20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Dashboard-Project'!$C$21:$C$32</f>
            </numRef>
          </val>
        </ser>
        <ser>
          <idx val="2"/>
          <order val="2"/>
          <tx>
            <strRef>
              <f>'8. Dashboard-Project'!D20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Dashboard-Project'!$D$21:$D$32</f>
            </numRef>
          </val>
        </ser>
        <ser>
          <idx val="3"/>
          <order val="3"/>
          <tx>
            <strRef>
              <f>'8. Dashboard-Project'!E20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Dashboard-Project'!$E$21:$E$32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level by project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'9. Dashboard-Portfolio'!$A$6:$A$17</f>
            </numRef>
          </cat>
          <val>
            <numRef>
              <f>'9. Dashboard-Portfolio'!$G$6:$G$17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topLeftCell="A32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60" customWidth="1" min="2" max="3"/>
  </cols>
  <sheetData>
    <row r="1" ht="19.7" customHeight="1">
      <c r="A1" s="1" t="inlineStr">
        <is>
          <t>HOW TO MEASURE &amp; GUIDE</t>
        </is>
      </c>
    </row>
    <row r="2"/>
    <row r="3" ht="15" customHeight="1">
      <c r="A3" s="44" t="inlineStr">
        <is>
          <t>SCORING — place each dimension (A–E) at the HIGHEST LEVEL that SIMULTANEOUSLY meets the qualitative + quantitative conditions:
•  QUALITATIVE = Yes/No flag ticked by the auditor (MANUAL) → sheet «4. Quarterly» (orange cells).
•  QUANTITATIVE = measures auto-computed from raw numbers (AUTO) → enter in «3. Monthly» (yellow cells); metrics in «5. Metrics»; levels in «6. Levels».
OVERALL = MIN( E-Governance , C-Quality , ROUNDED AVERAGE of the 5 dimensions ).  → C and E are GATES.
MANUAL minimum = exactly 2 places: raw numbers («3. Monthly») + judgment flags («4. Quarterly»).
The "already-measured-or-not" flags (a1,a3,b1,b2,b3,c2,d1,d2) are AUTO-derived from data — not ticked.
Codes a2/a4/b4/c3/G3… = column names in «4. Quarterly». Numeric thresholds (30/50/60/20%) are adjusted in «10. Thresholds».</t>
        </is>
      </c>
      <c r="B3" s="47" t="n"/>
      <c r="C3" s="47" t="n"/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/>
    <row r="13">
      <c r="A13" s="2" t="inlineStr">
        <is>
          <t>COLOR CONVENTIONS:</t>
        </is>
      </c>
    </row>
    <row r="14" ht="64.15000000000001" customHeight="1">
      <c r="A14" s="3" t="inlineStr">
        <is>
          <t>YELLOW CELL — manual entry (raw numbers)</t>
        </is>
      </c>
      <c r="B14" s="4" t="inlineStr">
        <is>
          <t>GRAY CELL — auto-computed formula</t>
        </is>
      </c>
      <c r="C14" s="5" t="inlineStr">
        <is>
          <t>ORANGE CELL — Yes/No judgment flag</t>
        </is>
      </c>
    </row>
    <row r="15"/>
    <row r="16">
      <c r="A16" s="2" t="inlineStr">
        <is>
          <t>Go to:</t>
        </is>
      </c>
      <c r="B16" s="6">
        <f>HYPERLINK("#'3. Monthly'!A1","3. Monthly")</f>
        <v/>
      </c>
      <c r="C16" s="6">
        <f>HYPERLINK("#'4. Quarterly'!A1","4. Quarterly")</f>
        <v/>
      </c>
    </row>
    <row r="17">
      <c r="B17" s="6">
        <f>HYPERLINK("#'6. Levels'!A1","6. Levels")</f>
        <v/>
      </c>
      <c r="C17" s="6">
        <f>HYPERLINK("#'8. Dashboard-Project'!A1","8. Dashboard-Project")</f>
        <v/>
      </c>
    </row>
    <row r="18">
      <c r="B18" s="6">
        <f>HYPERLINK("#'9. Dashboard-Portfolio'!A1","9. Dashboard-Portfolio")</f>
        <v/>
      </c>
      <c r="C18" s="6">
        <f>HYPERLINK("#'7. SelfAssessment'!A1","7. SelfAssessment")</f>
        <v/>
      </c>
    </row>
    <row r="19">
      <c r="A19" s="7" t="inlineStr">
        <is>
          <t>LEVEL DEFINITIONS BY 2 METHODS</t>
        </is>
      </c>
    </row>
    <row r="20" ht="15" customHeight="1">
      <c r="A20" s="45" t="inlineStr">
        <is>
          <t>A. ADOPTION  —  Is AI actually being used?</t>
        </is>
      </c>
      <c r="B20" s="49" t="n"/>
      <c r="C20" s="49" t="n"/>
    </row>
    <row r="21">
      <c r="A21" s="8" t="inlineStr">
        <is>
          <t>Lv</t>
        </is>
      </c>
      <c r="B21" s="8">
        <f>HYPERLINK("#'4. Quarterly'!A1","QUALITATIVE  (tick → 4. Quarterly)")</f>
        <v/>
      </c>
      <c r="C21" s="8">
        <f>HYPERLINK("#'3. Monthly'!A1","QUANTITATIVE  (auto ← 3. Monthly / 5. Metrics)")</f>
        <v/>
      </c>
    </row>
    <row r="22">
      <c r="A22" s="9" t="n">
        <v>1</v>
      </c>
      <c r="B22" s="10" t="inlineStr">
        <is>
          <t>Sporadic use, unclear who uses it</t>
        </is>
      </c>
      <c r="C22" s="11" t="inlineStr">
        <is>
          <t>— (a1 auto-derived: no usage numbers yet)</t>
        </is>
      </c>
    </row>
    <row r="23">
      <c r="A23" s="9" t="n">
        <v>2</v>
      </c>
      <c r="B23" s="10" t="inlineStr">
        <is>
          <t>—</t>
        </is>
      </c>
      <c r="C23" s="11" t="inlineStr">
        <is>
          <t>a1 auto = usage numbers exist  &amp;  usage rate ≥ 50%</t>
        </is>
      </c>
    </row>
    <row r="24">
      <c r="A24" s="9" t="n">
        <v>3</v>
      </c>
      <c r="B24" s="10" t="inlineStr">
        <is>
          <t>a2 = Yes (tracking dashboard exists)</t>
        </is>
      </c>
      <c r="C24" s="11" t="inlineStr">
        <is>
          <t>AI PR % ≥ 30%</t>
        </is>
      </c>
    </row>
    <row r="25">
      <c r="A25" s="9" t="n">
        <v>4</v>
      </c>
      <c r="B25" s="10" t="inlineStr">
        <is>
          <t>— (a3 auto-derived: % work assigned to agents measured)</t>
        </is>
      </c>
      <c r="C25" s="11" t="inlineStr">
        <is>
          <t>AI PR % &gt; 50%</t>
        </is>
      </c>
    </row>
    <row r="26">
      <c r="A26" s="9" t="n">
        <v>5</v>
      </c>
      <c r="B26" s="10" t="inlineStr">
        <is>
          <t>a4 = Yes (adoption near-universal, intentional)</t>
        </is>
      </c>
      <c r="C26" s="11" t="inlineStr">
        <is>
          <t>—</t>
        </is>
      </c>
    </row>
    <row r="27"/>
    <row r="28" ht="15" customHeight="1">
      <c r="A28" s="45" t="inlineStr">
        <is>
          <t>B. DELIVERY &amp; VALUE  —  Faster &amp; more stable delivery? (DORA)</t>
        </is>
      </c>
      <c r="B28" s="49" t="n"/>
      <c r="C28" s="49" t="n"/>
    </row>
    <row r="29">
      <c r="A29" s="8" t="inlineStr">
        <is>
          <t>Lv</t>
        </is>
      </c>
      <c r="B29" s="8">
        <f>HYPERLINK("#'4. Quarterly'!A1","QUALITATIVE  (tick → 4. Quarterly)")</f>
        <v/>
      </c>
      <c r="C29" s="8">
        <f>HYPERLINK("#'3. Monthly'!A1","QUANTITATIVE  (auto ← 3. Monthly / 5. Metrics)")</f>
        <v/>
      </c>
    </row>
    <row r="30">
      <c r="A30" s="9" t="n">
        <v>1</v>
      </c>
      <c r="B30" s="10" t="inlineStr">
        <is>
          <t>Nothing measured yet</t>
        </is>
      </c>
      <c r="C30" s="11" t="inlineStr">
        <is>
          <t>—</t>
        </is>
      </c>
    </row>
    <row r="31">
      <c r="A31" s="9" t="n">
        <v>2</v>
      </c>
      <c r="B31" s="10" t="inlineStr">
        <is>
          <t>—</t>
        </is>
      </c>
      <c r="C31" s="11" t="inlineStr">
        <is>
          <t>b1 auto = Deploys/week exists</t>
        </is>
      </c>
    </row>
    <row r="32">
      <c r="A32" s="9" t="n">
        <v>3</v>
      </c>
      <c r="B32" s="10" t="inlineStr">
        <is>
          <t>—</t>
        </is>
      </c>
      <c r="C32" s="11" t="inlineStr">
        <is>
          <t>b2 auto (all 4 DORA) &amp; b3 auto (cost baseline exists)</t>
        </is>
      </c>
    </row>
    <row r="33">
      <c r="A33" s="9" t="n">
        <v>4</v>
      </c>
      <c r="B33" s="10" t="inlineStr">
        <is>
          <t>b4 + b5 + b6 = Yes</t>
        </is>
      </c>
      <c r="C33" s="11" t="inlineStr">
        <is>
          <t>(with 4 DORA improving — see trend)</t>
        </is>
      </c>
    </row>
    <row r="34">
      <c r="A34" s="9" t="n">
        <v>5</v>
      </c>
      <c r="B34" s="10" t="inlineStr">
        <is>
          <t>b7 + b8 = Yes (regular client reporting)</t>
        </is>
      </c>
      <c r="C34" s="11" t="inlineStr">
        <is>
          <t>DORA top-quartile &amp; stable</t>
        </is>
      </c>
    </row>
    <row r="35"/>
    <row r="36" ht="15" customHeight="1">
      <c r="A36" s="46" t="inlineStr">
        <is>
          <t>C. QUALITY &amp; SECURITY  ★ GATE  —  Output correct, clean, safe?</t>
        </is>
      </c>
      <c r="B36" s="49" t="n"/>
      <c r="C36" s="49" t="n"/>
    </row>
    <row r="37">
      <c r="A37" s="8" t="inlineStr">
        <is>
          <t>Lv</t>
        </is>
      </c>
      <c r="B37" s="8">
        <f>HYPERLINK("#'4. Quarterly'!A1","QUALITATIVE  (tick → 4. Quarterly)")</f>
        <v/>
      </c>
      <c r="C37" s="8">
        <f>HYPERLINK("#'3. Monthly'!A1","QUANTITATIVE  (auto ← 3. Monthly / 5. Metrics)")</f>
        <v/>
      </c>
    </row>
    <row r="38">
      <c r="A38" s="9" t="n">
        <v>1</v>
      </c>
      <c r="B38" s="10" t="inlineStr">
        <is>
          <t>Not measured, assessed by eye</t>
        </is>
      </c>
      <c r="C38" s="11" t="inlineStr">
        <is>
          <t>—</t>
        </is>
      </c>
    </row>
    <row r="39">
      <c r="A39" s="9" t="n">
        <v>2</v>
      </c>
      <c r="B39" s="10" t="inlineStr">
        <is>
          <t>Has ≥1 of: G3 / c3</t>
        </is>
      </c>
      <c r="C39" s="11" t="inlineStr">
        <is>
          <t>c2 auto = Rework% exists</t>
        </is>
      </c>
    </row>
    <row r="40">
      <c r="A40" s="9" t="n">
        <v>3</v>
      </c>
      <c r="B40" s="10" t="inlineStr">
        <is>
          <t>G3 + c3 (required review, basic scanning)</t>
        </is>
      </c>
      <c r="C40" s="11" t="inlineStr">
        <is>
          <t>c2 auto (Rework% tracked); AI PRs reviewed %</t>
        </is>
      </c>
    </row>
    <row r="41">
      <c r="A41" s="9" t="n">
        <v>4</v>
      </c>
      <c r="B41" s="10" t="inlineStr">
        <is>
          <t>c4 + c5 + c6 (evals; SAST/PII required)</t>
        </is>
      </c>
      <c r="C41" s="11" t="inlineStr">
        <is>
          <t>Rework% down; Coverage up</t>
        </is>
      </c>
    </row>
    <row r="42">
      <c r="A42" s="9" t="n">
        <v>5</v>
      </c>
      <c r="B42" s="10" t="inlineStr">
        <is>
          <t>c7 + c8 + c9 (prompt-leak / PII controls)</t>
        </is>
      </c>
      <c r="C42" s="11" t="inlineStr">
        <is>
          <t>Vulns &amp; defect ≈ 0</t>
        </is>
      </c>
    </row>
    <row r="43"/>
    <row r="44" ht="15" customHeight="1">
      <c r="A44" s="45" t="inlineStr">
        <is>
          <t>D. AGENT MATURITY  —  How autonomous are agents?</t>
        </is>
      </c>
      <c r="B44" s="49" t="n"/>
      <c r="C44" s="49" t="n"/>
    </row>
    <row r="45">
      <c r="A45" s="8" t="inlineStr">
        <is>
          <t>Lv</t>
        </is>
      </c>
      <c r="B45" s="8">
        <f>HYPERLINK("#'4. Quarterly'!A1","QUALITATIVE  (tick → 4. Quarterly)")</f>
        <v/>
      </c>
      <c r="C45" s="8">
        <f>HYPERLINK("#'3. Monthly'!A1","QUANTITATIVE  (auto ← 3. Monthly / 5. Metrics)")</f>
        <v/>
      </c>
    </row>
    <row r="46">
      <c r="A46" s="9" t="n">
        <v>1</v>
      </c>
      <c r="B46" s="10" t="inlineStr">
        <is>
          <t>— (d1 auto-derived: no tasks assigned to agents yet)</t>
        </is>
      </c>
      <c r="C46" s="11" t="inlineStr">
        <is>
          <t>—</t>
        </is>
      </c>
    </row>
    <row r="47">
      <c r="A47" s="9" t="n">
        <v>2</v>
      </c>
      <c r="B47" s="10" t="inlineStr">
        <is>
          <t>— (d2 auto-derived: completion/intervention not measured)</t>
        </is>
      </c>
      <c r="C47" s="11" t="inlineStr">
        <is>
          <t>d1 auto = tasks assigned to agents exist</t>
        </is>
      </c>
    </row>
    <row r="48">
      <c r="A48" s="9" t="n">
        <v>3</v>
      </c>
      <c r="B48" s="10" t="inlineStr">
        <is>
          <t>—</t>
        </is>
      </c>
      <c r="C48" s="11" t="inlineStr">
        <is>
          <t>d2 auto = Agent success% + Human intervention% exist</t>
        </is>
      </c>
    </row>
    <row r="49">
      <c r="A49" s="9" t="n">
        <v>4</v>
      </c>
      <c r="B49" s="10" t="inlineStr">
        <is>
          <t>d3 + d4 (defined class + cycle time measured)</t>
        </is>
      </c>
      <c r="C49" s="11" t="inlineStr">
        <is>
          <t>Autonomous ≥ 30%</t>
        </is>
      </c>
    </row>
    <row r="50">
      <c r="A50" s="9" t="n">
        <v>5</v>
      </c>
      <c r="B50" s="10" t="inlineStr">
        <is>
          <t>d5 + d3 + d4 (multi-agent)</t>
        </is>
      </c>
      <c r="C50" s="11" t="inlineStr">
        <is>
          <t>Autonomous ≥ 60%  &amp;  Intervention ≤ 20%</t>
        </is>
      </c>
    </row>
    <row r="51"/>
    <row r="52" ht="15" customHeight="1">
      <c r="A52" s="43" t="inlineStr">
        <is>
          <t>E. GOVERNANCE  ★ GATE  —  Disciplined AI use? (8-item checklist)</t>
        </is>
      </c>
      <c r="B52" s="49" t="n"/>
      <c r="C52" s="49" t="n"/>
    </row>
    <row r="53">
      <c r="A53" s="8" t="inlineStr">
        <is>
          <t>Lv</t>
        </is>
      </c>
      <c r="B53" s="8">
        <f>HYPERLINK("#'4. Quarterly'!A1","QUALITATIVE  (tick → 4. Quarterly)")</f>
        <v/>
      </c>
      <c r="C53" s="8">
        <f>HYPERLINK("#'3. Monthly'!A1","QUANTITATIVE  (auto ← 3. Monthly / 5. Metrics)")</f>
        <v/>
      </c>
    </row>
    <row r="54">
      <c r="A54" s="9" t="n">
        <v>1</v>
      </c>
      <c r="B54" s="10" t="inlineStr">
        <is>
          <t>0–1 items Yes</t>
        </is>
      </c>
      <c r="C54" s="11" t="inlineStr">
        <is>
          <t>Checklist score = 0–1 / 8</t>
        </is>
      </c>
    </row>
    <row r="55">
      <c r="A55" s="9" t="n">
        <v>2</v>
      </c>
      <c r="B55" s="10" t="inlineStr">
        <is>
          <t>2 items Yes</t>
        </is>
      </c>
      <c r="C55" s="11" t="inlineStr">
        <is>
          <t>Score = 2 / 8</t>
        </is>
      </c>
    </row>
    <row r="56">
      <c r="A56" s="9" t="n">
        <v>3</v>
      </c>
      <c r="B56" s="10" t="inlineStr">
        <is>
          <t>All 3 Core: G1 AGENTS.md · G2 policy · G3 review</t>
        </is>
      </c>
      <c r="C56" s="11" t="inlineStr">
        <is>
          <t>Score ≥ 3 (Core complete)</t>
        </is>
      </c>
    </row>
    <row r="57">
      <c r="A57" s="9" t="n">
        <v>4</v>
      </c>
      <c r="B57" s="10" t="inlineStr">
        <is>
          <t>All G1–G5 (Core + Advanced)</t>
        </is>
      </c>
      <c r="C57" s="11" t="inlineStr">
        <is>
          <t>Score = 5 (items 1–5)</t>
        </is>
      </c>
    </row>
    <row r="58">
      <c r="A58" s="9" t="n">
        <v>5</v>
      </c>
      <c r="B58" s="10" t="inlineStr">
        <is>
          <t>All 8 (plus Security &amp; Audit)</t>
        </is>
      </c>
      <c r="C58" s="11" t="inlineStr">
        <is>
          <t>Score = 8 / 8</t>
        </is>
      </c>
    </row>
  </sheetData>
  <mergeCells count="6">
    <mergeCell ref="A28:C28"/>
    <mergeCell ref="A20:C20"/>
    <mergeCell ref="A36:C36"/>
    <mergeCell ref="A44:C44"/>
    <mergeCell ref="A3:C11"/>
    <mergeCell ref="A52:C52"/>
  </mergeCells>
  <conditionalFormatting sqref="A22:A2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30:A34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38:A42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46:A50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54:A58">
    <cfRule type="colorScale" priority="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Normal="100" workbookViewId="0">
      <selection activeCell="B4" sqref="B4"/>
    </sheetView>
  </sheetViews>
  <sheetFormatPr baseColWidth="8" defaultColWidth="8.7109375" defaultRowHeight="15"/>
  <cols>
    <col width="12" customWidth="1" min="1" max="1"/>
    <col width="22" customWidth="1" min="2" max="2"/>
    <col width="18" customWidth="1" min="3" max="3"/>
    <col width="16" customWidth="1" min="4" max="5"/>
  </cols>
  <sheetData>
    <row r="1" ht="16.15" customHeight="1">
      <c r="A1" s="12" t="inlineStr">
        <is>
          <t>PROJECT DIRECTORY</t>
        </is>
      </c>
    </row>
    <row r="2">
      <c r="A2" s="8" t="inlineStr">
        <is>
          <t>ProjectID</t>
        </is>
      </c>
      <c r="B2" s="8" t="inlineStr">
        <is>
          <t>Project name</t>
        </is>
      </c>
      <c r="C2" s="8" t="inlineStr">
        <is>
          <t>Main tool</t>
        </is>
      </c>
      <c r="D2" s="8" t="inlineStr">
        <is>
          <t>Tech Lead</t>
        </is>
      </c>
      <c r="E2" s="8" t="inlineStr">
        <is>
          <t>Client / Area</t>
        </is>
      </c>
    </row>
    <row r="3">
      <c r="A3" s="13" t="n"/>
      <c r="B3" s="13" t="n"/>
      <c r="C3" s="13" t="n"/>
      <c r="D3" s="13" t="n"/>
      <c r="E3" s="13" t="n"/>
    </row>
    <row r="4">
      <c r="A4" s="13" t="n"/>
      <c r="B4" s="13" t="n"/>
      <c r="C4" s="13" t="n"/>
      <c r="D4" s="13" t="n"/>
      <c r="E4" s="13" t="n"/>
    </row>
    <row r="5">
      <c r="A5" s="13" t="n"/>
      <c r="B5" s="13" t="n"/>
      <c r="C5" s="13" t="n"/>
      <c r="D5" s="13" t="n"/>
      <c r="E5" s="13" t="n"/>
    </row>
    <row r="6">
      <c r="A6" s="14" t="n"/>
      <c r="B6" s="14" t="n"/>
      <c r="C6" s="14" t="n"/>
      <c r="D6" s="14" t="n"/>
      <c r="E6" s="14" t="n"/>
    </row>
    <row r="7">
      <c r="A7" s="14" t="n"/>
      <c r="B7" s="14" t="n"/>
      <c r="C7" s="14" t="n"/>
      <c r="D7" s="14" t="n"/>
      <c r="E7" s="14" t="n"/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10" customWidth="1" min="2" max="2"/>
    <col width="50" customWidth="1" min="3" max="3"/>
  </cols>
  <sheetData>
    <row r="1">
      <c r="A1" s="15" t="inlineStr">
        <is>
          <t>LEVEL THRESHOLDS (adjustable)</t>
        </is>
      </c>
    </row>
    <row r="2">
      <c r="A2" s="8" t="inlineStr">
        <is>
          <t>Parameter</t>
        </is>
      </c>
      <c r="B2" s="8" t="inlineStr">
        <is>
          <t>Value</t>
        </is>
      </c>
      <c r="C2" s="8" t="inlineStr">
        <is>
          <t>Meaning</t>
        </is>
      </c>
    </row>
    <row r="3">
      <c r="A3" s="2" t="inlineStr">
        <is>
          <t>pr_L3</t>
        </is>
      </c>
      <c r="B3" s="16" t="n">
        <v>0.3</v>
      </c>
      <c r="C3" s="17" t="inlineStr">
        <is>
          <t>Adoption L3: AI PR % ≥ 30%</t>
        </is>
      </c>
    </row>
    <row r="4">
      <c r="A4" s="2" t="inlineStr">
        <is>
          <t>pr_L4</t>
        </is>
      </c>
      <c r="B4" s="16" t="n">
        <v>0.5</v>
      </c>
      <c r="C4" s="17" t="inlineStr">
        <is>
          <t>Adoption L4: AI PR % &gt; 50%</t>
        </is>
      </c>
    </row>
    <row r="5">
      <c r="A5" s="2" t="inlineStr">
        <is>
          <t>usage_L2</t>
        </is>
      </c>
      <c r="B5" s="16" t="n">
        <v>0.5</v>
      </c>
      <c r="C5" s="17" t="inlineStr">
        <is>
          <t>Adoption L2: AI user rate ≥ 50%</t>
        </is>
      </c>
    </row>
    <row r="6">
      <c r="A6" s="2" t="inlineStr">
        <is>
          <t>aut_L4</t>
        </is>
      </c>
      <c r="B6" s="16" t="n">
        <v>0.3</v>
      </c>
      <c r="C6" s="17" t="inlineStr">
        <is>
          <t>Agent L4: autonomous ≥ 30%</t>
        </is>
      </c>
    </row>
    <row r="7">
      <c r="A7" s="2" t="inlineStr">
        <is>
          <t>aut_L5</t>
        </is>
      </c>
      <c r="B7" s="16" t="n">
        <v>0.6</v>
      </c>
      <c r="C7" s="17" t="inlineStr">
        <is>
          <t>Agent L5: autonomous ≥ 60%</t>
        </is>
      </c>
    </row>
    <row r="8">
      <c r="A8" s="2" t="inlineStr">
        <is>
          <t>int_L5</t>
        </is>
      </c>
      <c r="B8" s="16" t="n">
        <v>0.2</v>
      </c>
      <c r="C8" s="17" t="inlineStr">
        <is>
          <t>Agent L5: intervention ≤ 20%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3"/>
  <sheetViews>
    <sheetView zoomScaleNormal="100" workbookViewId="0">
      <pane xSplit="3" ySplit="3" topLeftCell="D4" activePane="bottomRight" state="frozen"/>
      <selection pane="bottomRight" activeCell="D13" sqref="D13"/>
      <selection pane="bottomLeft" activeCell="A4" sqref="A4"/>
      <selection pane="topRight" activeCell="D1" sqref="D1"/>
    </sheetView>
  </sheetViews>
  <sheetFormatPr baseColWidth="8" defaultColWidth="8.7109375" defaultRowHeight="15"/>
  <cols>
    <col width="11" customWidth="1" min="1" max="1"/>
    <col width="15" customWidth="1" min="2" max="2"/>
    <col width="11" customWidth="1" min="3" max="24"/>
  </cols>
  <sheetData>
    <row r="1">
      <c r="A1" s="15" t="inlineStr">
        <is>
          <t>MONTHLY RAW INPUT — enter raw numbers only (yellow cells). Percentages are in «5. Metrics».</t>
        </is>
      </c>
    </row>
    <row r="2" ht="15" customHeight="1">
      <c r="A2" s="41" t="inlineStr">
        <is>
          <t>KEY</t>
        </is>
      </c>
      <c r="B2" s="49" t="n"/>
      <c r="C2" s="49" t="n"/>
      <c r="D2" s="39" t="inlineStr">
        <is>
          <t>A. ADOPTION (raw)</t>
        </is>
      </c>
      <c r="E2" s="49" t="n"/>
      <c r="F2" s="49" t="n"/>
      <c r="G2" s="49" t="n"/>
      <c r="H2" s="49" t="n"/>
      <c r="I2" s="49" t="n"/>
      <c r="J2" s="39" t="inlineStr">
        <is>
          <t>B. DELIVERY (raw)</t>
        </is>
      </c>
      <c r="K2" s="49" t="n"/>
      <c r="L2" s="49" t="n"/>
      <c r="M2" s="49" t="n"/>
      <c r="N2" s="49" t="n"/>
      <c r="O2" s="49" t="n"/>
      <c r="P2" s="49" t="n"/>
      <c r="Q2" s="39" t="inlineStr">
        <is>
          <t>C. QUALITY (raw)</t>
        </is>
      </c>
      <c r="R2" s="49" t="n"/>
      <c r="S2" s="49" t="n"/>
      <c r="T2" s="49" t="n"/>
      <c r="U2" s="39" t="inlineStr">
        <is>
          <t>D. AGENT (raw)</t>
        </is>
      </c>
      <c r="V2" s="49" t="n"/>
      <c r="W2" s="49" t="n"/>
      <c r="X2" s="49" t="n"/>
    </row>
    <row r="3" ht="22.35" customHeight="1">
      <c r="A3" s="8" t="inlineStr">
        <is>
          <t>ProjectID</t>
        </is>
      </c>
      <c r="B3" s="8" t="inlineStr">
        <is>
          <t>Month (first day)</t>
        </is>
      </c>
      <c r="C3" s="8" t="inlineStr">
        <is>
          <t>Quarter</t>
        </is>
      </c>
      <c r="D3" s="8" t="inlineStr">
        <is>
          <t>Engineers using AI/week</t>
        </is>
      </c>
      <c r="E3" s="8" t="inlineStr">
        <is>
          <t>Total engineers</t>
        </is>
      </c>
      <c r="F3" s="8" t="inlineStr">
        <is>
          <t>AI-labeled PRs</t>
        </is>
      </c>
      <c r="G3" s="8" t="inlineStr">
        <is>
          <t>Total PRs</t>
        </is>
      </c>
      <c r="H3" s="8" t="inlineStr">
        <is>
          <t>Tasks assigned to agents</t>
        </is>
      </c>
      <c r="I3" s="8" t="inlineStr">
        <is>
          <t>Total tasks</t>
        </is>
      </c>
      <c r="J3" s="8" t="inlineStr">
        <is>
          <t>Lead time (h)</t>
        </is>
      </c>
      <c r="K3" s="8" t="inlineStr">
        <is>
          <t>Deploy count</t>
        </is>
      </c>
      <c r="L3" s="8" t="inlineStr">
        <is>
          <t>Weeks</t>
        </is>
      </c>
      <c r="M3" s="8" t="inlineStr">
        <is>
          <t>Failed deploys</t>
        </is>
      </c>
      <c r="N3" s="8" t="inlineStr">
        <is>
          <t>MTTR (h)</t>
        </is>
      </c>
      <c r="O3" s="8" t="inlineStr">
        <is>
          <t>Cost baseline/unit</t>
        </is>
      </c>
      <c r="P3" s="8" t="inlineStr">
        <is>
          <t>Cost actual/unit</t>
        </is>
      </c>
      <c r="Q3" s="8" t="inlineStr">
        <is>
          <t>PR rework ≤14d</t>
        </is>
      </c>
      <c r="R3" s="8" t="inlineStr">
        <is>
          <t>AI PRs reviewed</t>
        </is>
      </c>
      <c r="S3" s="8" t="inlineStr">
        <is>
          <t>Coverage AI (%)</t>
        </is>
      </c>
      <c r="T3" s="8" t="inlineStr">
        <is>
          <t>Vulns/secrets blocked</t>
        </is>
      </c>
      <c r="U3" s="8" t="inlineStr">
        <is>
          <t>Agent tasks done OK</t>
        </is>
      </c>
      <c r="V3" s="8" t="inlineStr">
        <is>
          <t>Agent tasks needing fixes</t>
        </is>
      </c>
      <c r="W3" s="8" t="inlineStr">
        <is>
          <t>Agent end-to-end</t>
        </is>
      </c>
      <c r="X3" s="8" t="inlineStr">
        <is>
          <t>Agent cycle (h)</t>
        </is>
      </c>
    </row>
    <row r="4">
      <c r="A4" s="3" t="n"/>
      <c r="B4" s="18" t="n"/>
      <c r="C4" s="4">
        <f>IF($B4="","",YEAR(B4)&amp;"-Q"&amp;ROUNDUP(MONTH(B4)/3,0))</f>
        <v/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19" t="n"/>
      <c r="T4" s="3" t="n"/>
      <c r="U4" s="3" t="n"/>
      <c r="V4" s="3" t="n"/>
      <c r="W4" s="3" t="n"/>
      <c r="X4" s="3" t="n"/>
    </row>
    <row r="5">
      <c r="A5" s="3" t="n"/>
      <c r="B5" s="18" t="n"/>
      <c r="C5" s="4">
        <f>IF($B5="","",YEAR(B5)&amp;"-Q"&amp;ROUNDUP(MONTH(B5)/3,0))</f>
        <v/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19" t="n"/>
      <c r="T5" s="3" t="n"/>
      <c r="U5" s="3" t="n"/>
      <c r="V5" s="3" t="n"/>
      <c r="W5" s="3" t="n"/>
      <c r="X5" s="3" t="n"/>
    </row>
    <row r="6">
      <c r="A6" s="3" t="n"/>
      <c r="B6" s="18" t="n"/>
      <c r="C6" s="4">
        <f>IF($B6="","",YEAR(B6)&amp;"-Q"&amp;ROUNDUP(MONTH(B6)/3,0))</f>
        <v/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19" t="n"/>
      <c r="T6" s="3" t="n"/>
      <c r="U6" s="3" t="n"/>
      <c r="V6" s="3" t="n"/>
      <c r="W6" s="3" t="n"/>
      <c r="X6" s="3" t="n"/>
    </row>
    <row r="7">
      <c r="A7" s="3" t="n"/>
      <c r="B7" s="18" t="n"/>
      <c r="C7" s="4">
        <f>IF($B7="","",YEAR(B7)&amp;"-Q"&amp;ROUNDUP(MONTH(B7)/3,0))</f>
        <v/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19" t="n"/>
      <c r="T7" s="3" t="n"/>
      <c r="U7" s="3" t="n"/>
      <c r="V7" s="3" t="n"/>
      <c r="W7" s="3" t="n"/>
      <c r="X7" s="3" t="n"/>
    </row>
    <row r="8">
      <c r="A8" s="3" t="n"/>
      <c r="B8" s="18" t="n"/>
      <c r="C8" s="4">
        <f>IF($B8="","",YEAR(B8)&amp;"-Q"&amp;ROUNDUP(MONTH(B8)/3,0))</f>
        <v/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19" t="n"/>
      <c r="T8" s="3" t="n"/>
      <c r="U8" s="3" t="n"/>
      <c r="V8" s="3" t="n"/>
      <c r="W8" s="3" t="n"/>
      <c r="X8" s="3" t="n"/>
    </row>
    <row r="9">
      <c r="A9" s="3" t="n"/>
      <c r="B9" s="18" t="n"/>
      <c r="C9" s="4">
        <f>IF($B9="","",YEAR(B9)&amp;"-Q"&amp;ROUNDUP(MONTH(B9)/3,0))</f>
        <v/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19" t="n"/>
      <c r="T9" s="3" t="n"/>
      <c r="U9" s="3" t="n"/>
      <c r="V9" s="3" t="n"/>
      <c r="W9" s="3" t="n"/>
      <c r="X9" s="3" t="n"/>
    </row>
    <row r="10">
      <c r="A10" s="3" t="n"/>
      <c r="B10" s="18" t="n"/>
      <c r="C10" s="4">
        <f>IF($B10="","",YEAR(B10)&amp;"-Q"&amp;ROUNDUP(MONTH(B10)/3,0))</f>
        <v/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19" t="n"/>
      <c r="T10" s="3" t="n"/>
      <c r="U10" s="3" t="n"/>
      <c r="V10" s="3" t="n"/>
      <c r="W10" s="3" t="n"/>
      <c r="X10" s="3" t="n"/>
    </row>
    <row r="11">
      <c r="A11" s="3" t="n"/>
      <c r="B11" s="18" t="n"/>
      <c r="C11" s="4">
        <f>IF($B11="","",YEAR(B11)&amp;"-Q"&amp;ROUNDUP(MONTH(B11)/3,0))</f>
        <v/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19" t="n"/>
      <c r="T11" s="3" t="n"/>
      <c r="U11" s="3" t="n"/>
      <c r="V11" s="3" t="n"/>
      <c r="W11" s="3" t="n"/>
      <c r="X11" s="3" t="n"/>
    </row>
    <row r="12">
      <c r="A12" s="3" t="n"/>
      <c r="B12" s="18" t="n"/>
      <c r="C12" s="4">
        <f>IF($B12="","",YEAR(B12)&amp;"-Q"&amp;ROUNDUP(MONTH(B12)/3,0))</f>
        <v/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19" t="n"/>
      <c r="T12" s="3" t="n"/>
      <c r="U12" s="3" t="n"/>
      <c r="V12" s="3" t="n"/>
      <c r="W12" s="3" t="n"/>
      <c r="X12" s="3" t="n"/>
    </row>
    <row r="13">
      <c r="A13" s="3" t="n"/>
      <c r="B13" s="18" t="n"/>
      <c r="C13" s="4">
        <f>IF($B13="","",YEAR(B13)&amp;"-Q"&amp;ROUNDUP(MONTH(B13)/3,0))</f>
        <v/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19" t="n"/>
      <c r="T13" s="3" t="n"/>
      <c r="U13" s="3" t="n"/>
      <c r="V13" s="3" t="n"/>
      <c r="W13" s="3" t="n"/>
      <c r="X13" s="3" t="n"/>
    </row>
    <row r="14">
      <c r="A14" s="3" t="n"/>
      <c r="B14" s="18" t="n"/>
      <c r="C14" s="4">
        <f>IF($B14="","",YEAR(B14)&amp;"-Q"&amp;ROUNDUP(MONTH(B14)/3,0))</f>
        <v/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19" t="n"/>
      <c r="T14" s="3" t="n"/>
      <c r="U14" s="3" t="n"/>
      <c r="V14" s="3" t="n"/>
      <c r="W14" s="3" t="n"/>
      <c r="X14" s="3" t="n"/>
    </row>
    <row r="15">
      <c r="A15" s="3" t="n"/>
      <c r="B15" s="18" t="n"/>
      <c r="C15" s="4">
        <f>IF($B15="","",YEAR(B15)&amp;"-Q"&amp;ROUNDUP(MONTH(B15)/3,0))</f>
        <v/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19" t="n"/>
      <c r="T15" s="3" t="n"/>
      <c r="U15" s="3" t="n"/>
      <c r="V15" s="3" t="n"/>
      <c r="W15" s="3" t="n"/>
      <c r="X15" s="3" t="n"/>
    </row>
    <row r="16">
      <c r="A16" s="3" t="n"/>
      <c r="B16" s="18" t="n"/>
      <c r="C16" s="4">
        <f>IF($B16="","",YEAR(B16)&amp;"-Q"&amp;ROUNDUP(MONTH(B16)/3,0))</f>
        <v/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19" t="n"/>
      <c r="T16" s="3" t="n"/>
      <c r="U16" s="3" t="n"/>
      <c r="V16" s="3" t="n"/>
      <c r="W16" s="3" t="n"/>
      <c r="X16" s="3" t="n"/>
    </row>
    <row r="17">
      <c r="A17" s="3" t="n"/>
      <c r="B17" s="18" t="n"/>
      <c r="C17" s="4">
        <f>IF($B17="","",YEAR(B17)&amp;"-Q"&amp;ROUNDUP(MONTH(B17)/3,0))</f>
        <v/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19" t="n"/>
      <c r="T17" s="3" t="n"/>
      <c r="U17" s="3" t="n"/>
      <c r="V17" s="3" t="n"/>
      <c r="W17" s="3" t="n"/>
      <c r="X17" s="3" t="n"/>
    </row>
    <row r="18">
      <c r="A18" s="3" t="n"/>
      <c r="B18" s="18" t="n"/>
      <c r="C18" s="4">
        <f>IF($B18="","",YEAR(B18)&amp;"-Q"&amp;ROUNDUP(MONTH(B18)/3,0))</f>
        <v/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19" t="n"/>
      <c r="T18" s="3" t="n"/>
      <c r="U18" s="3" t="n"/>
      <c r="V18" s="3" t="n"/>
      <c r="W18" s="3" t="n"/>
      <c r="X18" s="3" t="n"/>
    </row>
    <row r="19">
      <c r="A19" s="3" t="n"/>
      <c r="B19" s="18" t="n"/>
      <c r="C19" s="4">
        <f>IF($B19="","",YEAR(B19)&amp;"-Q"&amp;ROUNDUP(MONTH(B19)/3,0))</f>
        <v/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19" t="n"/>
      <c r="T19" s="3" t="n"/>
      <c r="U19" s="3" t="n"/>
      <c r="V19" s="3" t="n"/>
      <c r="W19" s="3" t="n"/>
      <c r="X19" s="3" t="n"/>
    </row>
    <row r="20">
      <c r="A20" s="3" t="n"/>
      <c r="B20" s="18" t="n"/>
      <c r="C20" s="4">
        <f>IF($B20="","",YEAR(B20)&amp;"-Q"&amp;ROUNDUP(MONTH(B20)/3,0))</f>
        <v/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19" t="n"/>
      <c r="T20" s="3" t="n"/>
      <c r="U20" s="3" t="n"/>
      <c r="V20" s="3" t="n"/>
      <c r="W20" s="3" t="n"/>
      <c r="X20" s="3" t="n"/>
    </row>
    <row r="21">
      <c r="A21" s="3" t="n"/>
      <c r="B21" s="18" t="n"/>
      <c r="C21" s="4">
        <f>IF($B21="","",YEAR(B21)&amp;"-Q"&amp;ROUNDUP(MONTH(B21)/3,0))</f>
        <v/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19" t="n"/>
      <c r="T21" s="3" t="n"/>
      <c r="U21" s="3" t="n"/>
      <c r="V21" s="3" t="n"/>
      <c r="W21" s="3" t="n"/>
      <c r="X21" s="3" t="n"/>
    </row>
    <row r="22">
      <c r="A22" s="3" t="n"/>
      <c r="B22" s="18" t="n"/>
      <c r="C22" s="4">
        <f>IF($B22="","",YEAR(B22)&amp;"-Q"&amp;ROUNDUP(MONTH(B22)/3,0))</f>
        <v/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19" t="n"/>
      <c r="T22" s="3" t="n"/>
      <c r="U22" s="3" t="n"/>
      <c r="V22" s="3" t="n"/>
      <c r="W22" s="3" t="n"/>
      <c r="X22" s="3" t="n"/>
    </row>
    <row r="23">
      <c r="A23" s="3" t="n"/>
      <c r="B23" s="18" t="n"/>
      <c r="C23" s="4">
        <f>IF($B23="","",YEAR(B23)&amp;"-Q"&amp;ROUNDUP(MONTH(B23)/3,0))</f>
        <v/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19" t="n"/>
      <c r="T23" s="3" t="n"/>
      <c r="U23" s="3" t="n"/>
      <c r="V23" s="3" t="n"/>
      <c r="W23" s="3" t="n"/>
      <c r="X23" s="3" t="n"/>
    </row>
    <row r="24">
      <c r="A24" s="3" t="n"/>
      <c r="B24" s="18" t="n"/>
      <c r="C24" s="4">
        <f>IF($B24="","",YEAR(B24)&amp;"-Q"&amp;ROUNDUP(MONTH(B24)/3,0))</f>
        <v/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19" t="n"/>
      <c r="T24" s="3" t="n"/>
      <c r="U24" s="3" t="n"/>
      <c r="V24" s="3" t="n"/>
      <c r="W24" s="3" t="n"/>
      <c r="X24" s="3" t="n"/>
    </row>
    <row r="25">
      <c r="A25" s="3" t="n"/>
      <c r="B25" s="18" t="n"/>
      <c r="C25" s="4">
        <f>IF($B25="","",YEAR(B25)&amp;"-Q"&amp;ROUNDUP(MONTH(B25)/3,0))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19" t="n"/>
      <c r="T25" s="3" t="n"/>
      <c r="U25" s="3" t="n"/>
      <c r="V25" s="3" t="n"/>
      <c r="W25" s="3" t="n"/>
      <c r="X25" s="3" t="n"/>
    </row>
    <row r="26">
      <c r="A26" s="3" t="n"/>
      <c r="B26" s="18" t="n"/>
      <c r="C26" s="4">
        <f>IF($B26="","",YEAR(B26)&amp;"-Q"&amp;ROUNDUP(MONTH(B26)/3,0))</f>
        <v/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19" t="n"/>
      <c r="T26" s="3" t="n"/>
      <c r="U26" s="3" t="n"/>
      <c r="V26" s="3" t="n"/>
      <c r="W26" s="3" t="n"/>
      <c r="X26" s="3" t="n"/>
    </row>
    <row r="27">
      <c r="A27" s="3" t="n"/>
      <c r="B27" s="18" t="n"/>
      <c r="C27" s="4">
        <f>IF($B27="","",YEAR(B27)&amp;"-Q"&amp;ROUNDUP(MONTH(B27)/3,0))</f>
        <v/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19" t="n"/>
      <c r="T27" s="3" t="n"/>
      <c r="U27" s="3" t="n"/>
      <c r="V27" s="3" t="n"/>
      <c r="W27" s="3" t="n"/>
      <c r="X27" s="3" t="n"/>
    </row>
    <row r="28">
      <c r="A28" s="3" t="n"/>
      <c r="B28" s="18" t="n"/>
      <c r="C28" s="4">
        <f>IF($B28="","",YEAR(B28)&amp;"-Q"&amp;ROUNDUP(MONTH(B28)/3,0))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19" t="n"/>
      <c r="T28" s="3" t="n"/>
      <c r="U28" s="3" t="n"/>
      <c r="V28" s="3" t="n"/>
      <c r="W28" s="3" t="n"/>
      <c r="X28" s="3" t="n"/>
    </row>
    <row r="29">
      <c r="A29" s="3" t="n"/>
      <c r="B29" s="18" t="n"/>
      <c r="C29" s="4">
        <f>IF($B29="","",YEAR(B29)&amp;"-Q"&amp;ROUNDUP(MONTH(B29)/3,0))</f>
        <v/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19" t="n"/>
      <c r="T29" s="3" t="n"/>
      <c r="U29" s="3" t="n"/>
      <c r="V29" s="3" t="n"/>
      <c r="W29" s="3" t="n"/>
      <c r="X29" s="3" t="n"/>
    </row>
    <row r="30">
      <c r="A30" s="3" t="n"/>
      <c r="B30" s="18" t="n"/>
      <c r="C30" s="4">
        <f>IF($B30="","",YEAR(B30)&amp;"-Q"&amp;ROUNDUP(MONTH(B30)/3,0))</f>
        <v/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19" t="n"/>
      <c r="T30" s="3" t="n"/>
      <c r="U30" s="3" t="n"/>
      <c r="V30" s="3" t="n"/>
      <c r="W30" s="3" t="n"/>
      <c r="X30" s="3" t="n"/>
    </row>
    <row r="31">
      <c r="A31" s="3" t="n"/>
      <c r="B31" s="18" t="n"/>
      <c r="C31" s="4">
        <f>IF($B31="","",YEAR(B31)&amp;"-Q"&amp;ROUNDUP(MONTH(B31)/3,0))</f>
        <v/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19" t="n"/>
      <c r="T31" s="3" t="n"/>
      <c r="U31" s="3" t="n"/>
      <c r="V31" s="3" t="n"/>
      <c r="W31" s="3" t="n"/>
      <c r="X31" s="3" t="n"/>
    </row>
    <row r="32">
      <c r="A32" s="3" t="n"/>
      <c r="B32" s="18" t="n"/>
      <c r="C32" s="4">
        <f>IF($B32="","",YEAR(B32)&amp;"-Q"&amp;ROUNDUP(MONTH(B32)/3,0))</f>
        <v/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19" t="n"/>
      <c r="T32" s="3" t="n"/>
      <c r="U32" s="3" t="n"/>
      <c r="V32" s="3" t="n"/>
      <c r="W32" s="3" t="n"/>
      <c r="X32" s="3" t="n"/>
    </row>
    <row r="33">
      <c r="A33" s="3" t="n"/>
      <c r="B33" s="18" t="n"/>
      <c r="C33" s="4">
        <f>IF($B33="","",YEAR(B33)&amp;"-Q"&amp;ROUNDUP(MONTH(B33)/3,0))</f>
        <v/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19" t="n"/>
      <c r="T33" s="3" t="n"/>
      <c r="U33" s="3" t="n"/>
      <c r="V33" s="3" t="n"/>
      <c r="W33" s="3" t="n"/>
      <c r="X33" s="3" t="n"/>
    </row>
    <row r="34">
      <c r="A34" s="3" t="n"/>
      <c r="B34" s="18" t="n"/>
      <c r="C34" s="4">
        <f>IF($B34="","",YEAR(B34)&amp;"-Q"&amp;ROUNDUP(MONTH(B34)/3,0))</f>
        <v/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19" t="n"/>
      <c r="T34" s="3" t="n"/>
      <c r="U34" s="3" t="n"/>
      <c r="V34" s="3" t="n"/>
      <c r="W34" s="3" t="n"/>
      <c r="X34" s="3" t="n"/>
    </row>
    <row r="35">
      <c r="A35" s="3" t="n"/>
      <c r="B35" s="18" t="n"/>
      <c r="C35" s="4">
        <f>IF($B35="","",YEAR(B35)&amp;"-Q"&amp;ROUNDUP(MONTH(B35)/3,0))</f>
        <v/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19" t="n"/>
      <c r="T35" s="3" t="n"/>
      <c r="U35" s="3" t="n"/>
      <c r="V35" s="3" t="n"/>
      <c r="W35" s="3" t="n"/>
      <c r="X35" s="3" t="n"/>
    </row>
    <row r="36">
      <c r="A36" s="3" t="n"/>
      <c r="B36" s="18" t="n"/>
      <c r="C36" s="4">
        <f>IF($B36="","",YEAR(B36)&amp;"-Q"&amp;ROUNDUP(MONTH(B36)/3,0))</f>
        <v/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19" t="n"/>
      <c r="T36" s="3" t="n"/>
      <c r="U36" s="3" t="n"/>
      <c r="V36" s="3" t="n"/>
      <c r="W36" s="3" t="n"/>
      <c r="X36" s="3" t="n"/>
    </row>
    <row r="37">
      <c r="A37" s="3" t="n"/>
      <c r="B37" s="18" t="n"/>
      <c r="C37" s="4">
        <f>IF($B37="","",YEAR(B37)&amp;"-Q"&amp;ROUNDUP(MONTH(B37)/3,0))</f>
        <v/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19" t="n"/>
      <c r="T37" s="3" t="n"/>
      <c r="U37" s="3" t="n"/>
      <c r="V37" s="3" t="n"/>
      <c r="W37" s="3" t="n"/>
      <c r="X37" s="3" t="n"/>
    </row>
    <row r="38">
      <c r="A38" s="3" t="n"/>
      <c r="B38" s="18" t="n"/>
      <c r="C38" s="4">
        <f>IF($B38="","",YEAR(B38)&amp;"-Q"&amp;ROUNDUP(MONTH(B38)/3,0))</f>
        <v/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19" t="n"/>
      <c r="T38" s="3" t="n"/>
      <c r="U38" s="3" t="n"/>
      <c r="V38" s="3" t="n"/>
      <c r="W38" s="3" t="n"/>
      <c r="X38" s="3" t="n"/>
    </row>
    <row r="39">
      <c r="A39" s="3" t="n"/>
      <c r="B39" s="18" t="n"/>
      <c r="C39" s="4">
        <f>IF($B39="","",YEAR(B39)&amp;"-Q"&amp;ROUNDUP(MONTH(B39)/3,0))</f>
        <v/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19" t="n"/>
      <c r="T39" s="3" t="n"/>
      <c r="U39" s="3" t="n"/>
      <c r="V39" s="3" t="n"/>
      <c r="W39" s="3" t="n"/>
      <c r="X39" s="3" t="n"/>
    </row>
    <row r="40">
      <c r="A40" s="3" t="n"/>
      <c r="B40" s="18" t="n"/>
      <c r="C40" s="4">
        <f>IF($B40="","",YEAR(B40)&amp;"-Q"&amp;ROUNDUP(MONTH(B40)/3,0))</f>
        <v/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19" t="n"/>
      <c r="T40" s="3" t="n"/>
      <c r="U40" s="3" t="n"/>
      <c r="V40" s="3" t="n"/>
      <c r="W40" s="3" t="n"/>
      <c r="X40" s="3" t="n"/>
    </row>
    <row r="41">
      <c r="A41" s="3" t="n"/>
      <c r="B41" s="18" t="n"/>
      <c r="C41" s="4">
        <f>IF($B41="","",YEAR(B41)&amp;"-Q"&amp;ROUNDUP(MONTH(B41)/3,0))</f>
        <v/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19" t="n"/>
      <c r="T41" s="3" t="n"/>
      <c r="U41" s="3" t="n"/>
      <c r="V41" s="3" t="n"/>
      <c r="W41" s="3" t="n"/>
      <c r="X41" s="3" t="n"/>
    </row>
    <row r="42">
      <c r="A42" s="3" t="n"/>
      <c r="B42" s="18" t="n"/>
      <c r="C42" s="4">
        <f>IF($B42="","",YEAR(B42)&amp;"-Q"&amp;ROUNDUP(MONTH(B42)/3,0))</f>
        <v/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19" t="n"/>
      <c r="T42" s="3" t="n"/>
      <c r="U42" s="3" t="n"/>
      <c r="V42" s="3" t="n"/>
      <c r="W42" s="3" t="n"/>
      <c r="X42" s="3" t="n"/>
    </row>
    <row r="43">
      <c r="A43" s="3" t="n"/>
      <c r="B43" s="18" t="n"/>
      <c r="C43" s="4">
        <f>IF($B43="","",YEAR(B43)&amp;"-Q"&amp;ROUNDUP(MONTH(B43)/3,0))</f>
        <v/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19" t="n"/>
      <c r="T43" s="3" t="n"/>
      <c r="U43" s="3" t="n"/>
      <c r="V43" s="3" t="n"/>
      <c r="W43" s="3" t="n"/>
      <c r="X43" s="3" t="n"/>
    </row>
    <row r="44">
      <c r="A44" s="3" t="n"/>
      <c r="B44" s="18" t="n"/>
      <c r="C44" s="4">
        <f>IF($B44="","",YEAR(B44)&amp;"-Q"&amp;ROUNDUP(MONTH(B44)/3,0))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19" t="n"/>
      <c r="T44" s="3" t="n"/>
      <c r="U44" s="3" t="n"/>
      <c r="V44" s="3" t="n"/>
      <c r="W44" s="3" t="n"/>
      <c r="X44" s="3" t="n"/>
    </row>
    <row r="45">
      <c r="A45" s="3" t="n"/>
      <c r="B45" s="18" t="n"/>
      <c r="C45" s="4">
        <f>IF($B45="","",YEAR(B45)&amp;"-Q"&amp;ROUNDUP(MONTH(B45)/3,0))</f>
        <v/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19" t="n"/>
      <c r="T45" s="3" t="n"/>
      <c r="U45" s="3" t="n"/>
      <c r="V45" s="3" t="n"/>
      <c r="W45" s="3" t="n"/>
      <c r="X45" s="3" t="n"/>
    </row>
    <row r="46">
      <c r="A46" s="3" t="n"/>
      <c r="B46" s="18" t="n"/>
      <c r="C46" s="4">
        <f>IF($B46="","",YEAR(B46)&amp;"-Q"&amp;ROUNDUP(MONTH(B46)/3,0))</f>
        <v/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19" t="n"/>
      <c r="T46" s="3" t="n"/>
      <c r="U46" s="3" t="n"/>
      <c r="V46" s="3" t="n"/>
      <c r="W46" s="3" t="n"/>
      <c r="X46" s="3" t="n"/>
    </row>
    <row r="47">
      <c r="A47" s="3" t="n"/>
      <c r="B47" s="18" t="n"/>
      <c r="C47" s="4">
        <f>IF($B47="","",YEAR(B47)&amp;"-Q"&amp;ROUNDUP(MONTH(B47)/3,0))</f>
        <v/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19" t="n"/>
      <c r="T47" s="3" t="n"/>
      <c r="U47" s="3" t="n"/>
      <c r="V47" s="3" t="n"/>
      <c r="W47" s="3" t="n"/>
      <c r="X47" s="3" t="n"/>
    </row>
    <row r="48">
      <c r="A48" s="3" t="n"/>
      <c r="B48" s="18" t="n"/>
      <c r="C48" s="4">
        <f>IF($B48="","",YEAR(B48)&amp;"-Q"&amp;ROUNDUP(MONTH(B48)/3,0))</f>
        <v/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19" t="n"/>
      <c r="T48" s="3" t="n"/>
      <c r="U48" s="3" t="n"/>
      <c r="V48" s="3" t="n"/>
      <c r="W48" s="3" t="n"/>
      <c r="X48" s="3" t="n"/>
    </row>
    <row r="49">
      <c r="A49" s="3" t="n"/>
      <c r="B49" s="18" t="n"/>
      <c r="C49" s="4">
        <f>IF($B49="","",YEAR(B49)&amp;"-Q"&amp;ROUNDUP(MONTH(B49)/3,0))</f>
        <v/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19" t="n"/>
      <c r="T49" s="3" t="n"/>
      <c r="U49" s="3" t="n"/>
      <c r="V49" s="3" t="n"/>
      <c r="W49" s="3" t="n"/>
      <c r="X49" s="3" t="n"/>
    </row>
    <row r="50">
      <c r="A50" s="3" t="n"/>
      <c r="B50" s="18" t="n"/>
      <c r="C50" s="4">
        <f>IF($B50="","",YEAR(B50)&amp;"-Q"&amp;ROUNDUP(MONTH(B50)/3,0))</f>
        <v/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19" t="n"/>
      <c r="T50" s="3" t="n"/>
      <c r="U50" s="3" t="n"/>
      <c r="V50" s="3" t="n"/>
      <c r="W50" s="3" t="n"/>
      <c r="X50" s="3" t="n"/>
    </row>
    <row r="51">
      <c r="A51" s="3" t="n"/>
      <c r="B51" s="18" t="n"/>
      <c r="C51" s="4">
        <f>IF($B51="","",YEAR(B51)&amp;"-Q"&amp;ROUNDUP(MONTH(B51)/3,0))</f>
        <v/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19" t="n"/>
      <c r="T51" s="3" t="n"/>
      <c r="U51" s="3" t="n"/>
      <c r="V51" s="3" t="n"/>
      <c r="W51" s="3" t="n"/>
      <c r="X51" s="3" t="n"/>
    </row>
    <row r="52">
      <c r="A52" s="3" t="n"/>
      <c r="B52" s="18" t="n"/>
      <c r="C52" s="4">
        <f>IF($B52="","",YEAR(B52)&amp;"-Q"&amp;ROUNDUP(MONTH(B52)/3,0))</f>
        <v/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19" t="n"/>
      <c r="T52" s="3" t="n"/>
      <c r="U52" s="3" t="n"/>
      <c r="V52" s="3" t="n"/>
      <c r="W52" s="3" t="n"/>
      <c r="X52" s="3" t="n"/>
    </row>
    <row r="53">
      <c r="A53" s="3" t="n"/>
      <c r="B53" s="18" t="n"/>
      <c r="C53" s="4">
        <f>IF($B53="","",YEAR(B53)&amp;"-Q"&amp;ROUNDUP(MONTH(B53)/3,0))</f>
        <v/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19" t="n"/>
      <c r="T53" s="3" t="n"/>
      <c r="U53" s="3" t="n"/>
      <c r="V53" s="3" t="n"/>
      <c r="W53" s="3" t="n"/>
      <c r="X53" s="3" t="n"/>
    </row>
    <row r="54">
      <c r="A54" s="3" t="n"/>
      <c r="B54" s="18" t="n"/>
      <c r="C54" s="4">
        <f>IF($B54="","",YEAR(B54)&amp;"-Q"&amp;ROUNDUP(MONTH(B54)/3,0))</f>
        <v/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19" t="n"/>
      <c r="T54" s="3" t="n"/>
      <c r="U54" s="3" t="n"/>
      <c r="V54" s="3" t="n"/>
      <c r="W54" s="3" t="n"/>
      <c r="X54" s="3" t="n"/>
    </row>
    <row r="55">
      <c r="A55" s="3" t="n"/>
      <c r="B55" s="18" t="n"/>
      <c r="C55" s="4">
        <f>IF($B55="","",YEAR(B55)&amp;"-Q"&amp;ROUNDUP(MONTH(B55)/3,0))</f>
        <v/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19" t="n"/>
      <c r="T55" s="3" t="n"/>
      <c r="U55" s="3" t="n"/>
      <c r="V55" s="3" t="n"/>
      <c r="W55" s="3" t="n"/>
      <c r="X55" s="3" t="n"/>
    </row>
    <row r="56">
      <c r="A56" s="3" t="n"/>
      <c r="B56" s="18" t="n"/>
      <c r="C56" s="4">
        <f>IF($B56="","",YEAR(B56)&amp;"-Q"&amp;ROUNDUP(MONTH(B56)/3,0))</f>
        <v/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19" t="n"/>
      <c r="T56" s="3" t="n"/>
      <c r="U56" s="3" t="n"/>
      <c r="V56" s="3" t="n"/>
      <c r="W56" s="3" t="n"/>
      <c r="X56" s="3" t="n"/>
    </row>
    <row r="57">
      <c r="A57" s="3" t="n"/>
      <c r="B57" s="18" t="n"/>
      <c r="C57" s="4">
        <f>IF($B57="","",YEAR(B57)&amp;"-Q"&amp;ROUNDUP(MONTH(B57)/3,0))</f>
        <v/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19" t="n"/>
      <c r="T57" s="3" t="n"/>
      <c r="U57" s="3" t="n"/>
      <c r="V57" s="3" t="n"/>
      <c r="W57" s="3" t="n"/>
      <c r="X57" s="3" t="n"/>
    </row>
    <row r="58">
      <c r="A58" s="3" t="n"/>
      <c r="B58" s="18" t="n"/>
      <c r="C58" s="4">
        <f>IF($B58="","",YEAR(B58)&amp;"-Q"&amp;ROUNDUP(MONTH(B58)/3,0))</f>
        <v/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19" t="n"/>
      <c r="T58" s="3" t="n"/>
      <c r="U58" s="3" t="n"/>
      <c r="V58" s="3" t="n"/>
      <c r="W58" s="3" t="n"/>
      <c r="X58" s="3" t="n"/>
    </row>
    <row r="59">
      <c r="A59" s="3" t="n"/>
      <c r="B59" s="18" t="n"/>
      <c r="C59" s="4">
        <f>IF($B59="","",YEAR(B59)&amp;"-Q"&amp;ROUNDUP(MONTH(B59)/3,0))</f>
        <v/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19" t="n"/>
      <c r="T59" s="3" t="n"/>
      <c r="U59" s="3" t="n"/>
      <c r="V59" s="3" t="n"/>
      <c r="W59" s="3" t="n"/>
      <c r="X59" s="3" t="n"/>
    </row>
    <row r="60">
      <c r="A60" s="3" t="n"/>
      <c r="B60" s="18" t="n"/>
      <c r="C60" s="4">
        <f>IF($B60="","",YEAR(B60)&amp;"-Q"&amp;ROUNDUP(MONTH(B60)/3,0))</f>
        <v/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19" t="n"/>
      <c r="T60" s="3" t="n"/>
      <c r="U60" s="3" t="n"/>
      <c r="V60" s="3" t="n"/>
      <c r="W60" s="3" t="n"/>
      <c r="X60" s="3" t="n"/>
    </row>
    <row r="61">
      <c r="A61" s="3" t="n"/>
      <c r="B61" s="18" t="n"/>
      <c r="C61" s="4">
        <f>IF($B61="","",YEAR(B61)&amp;"-Q"&amp;ROUNDUP(MONTH(B61)/3,0))</f>
        <v/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19" t="n"/>
      <c r="T61" s="3" t="n"/>
      <c r="U61" s="3" t="n"/>
      <c r="V61" s="3" t="n"/>
      <c r="W61" s="3" t="n"/>
      <c r="X61" s="3" t="n"/>
    </row>
    <row r="62">
      <c r="A62" s="3" t="n"/>
      <c r="B62" s="18" t="n"/>
      <c r="C62" s="4">
        <f>IF($B62="","",YEAR(B62)&amp;"-Q"&amp;ROUNDUP(MONTH(B62)/3,0))</f>
        <v/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19" t="n"/>
      <c r="T62" s="3" t="n"/>
      <c r="U62" s="3" t="n"/>
      <c r="V62" s="3" t="n"/>
      <c r="W62" s="3" t="n"/>
      <c r="X62" s="3" t="n"/>
    </row>
    <row r="63">
      <c r="A63" s="3" t="n"/>
      <c r="B63" s="18" t="n"/>
      <c r="C63" s="4">
        <f>IF($B63="","",YEAR(B63)&amp;"-Q"&amp;ROUNDUP(MONTH(B63)/3,0))</f>
        <v/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19" t="n"/>
      <c r="T63" s="3" t="n"/>
      <c r="U63" s="3" t="n"/>
      <c r="V63" s="3" t="n"/>
      <c r="W63" s="3" t="n"/>
      <c r="X63" s="3" t="n"/>
    </row>
    <row r="64">
      <c r="A64" s="3" t="n"/>
      <c r="B64" s="18" t="n"/>
      <c r="C64" s="4">
        <f>IF($B64="","",YEAR(B64)&amp;"-Q"&amp;ROUNDUP(MONTH(B64)/3,0))</f>
        <v/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19" t="n"/>
      <c r="T64" s="3" t="n"/>
      <c r="U64" s="3" t="n"/>
      <c r="V64" s="3" t="n"/>
      <c r="W64" s="3" t="n"/>
      <c r="X64" s="3" t="n"/>
    </row>
    <row r="65">
      <c r="A65" s="3" t="n"/>
      <c r="B65" s="18" t="n"/>
      <c r="C65" s="4">
        <f>IF($B65="","",YEAR(B65)&amp;"-Q"&amp;ROUNDUP(MONTH(B65)/3,0))</f>
        <v/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19" t="n"/>
      <c r="T65" s="3" t="n"/>
      <c r="U65" s="3" t="n"/>
      <c r="V65" s="3" t="n"/>
      <c r="W65" s="3" t="n"/>
      <c r="X65" s="3" t="n"/>
    </row>
    <row r="66">
      <c r="A66" s="3" t="n"/>
      <c r="B66" s="18" t="n"/>
      <c r="C66" s="4">
        <f>IF($B66="","",YEAR(B66)&amp;"-Q"&amp;ROUNDUP(MONTH(B66)/3,0))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19" t="n"/>
      <c r="T66" s="3" t="n"/>
      <c r="U66" s="3" t="n"/>
      <c r="V66" s="3" t="n"/>
      <c r="W66" s="3" t="n"/>
      <c r="X66" s="3" t="n"/>
    </row>
    <row r="67">
      <c r="A67" s="3" t="n"/>
      <c r="B67" s="18" t="n"/>
      <c r="C67" s="4">
        <f>IF($B67="","",YEAR(B67)&amp;"-Q"&amp;ROUNDUP(MONTH(B67)/3,0))</f>
        <v/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19" t="n"/>
      <c r="T67" s="3" t="n"/>
      <c r="U67" s="3" t="n"/>
      <c r="V67" s="3" t="n"/>
      <c r="W67" s="3" t="n"/>
      <c r="X67" s="3" t="n"/>
    </row>
    <row r="68">
      <c r="A68" s="3" t="n"/>
      <c r="B68" s="18" t="n"/>
      <c r="C68" s="4">
        <f>IF($B68="","",YEAR(B68)&amp;"-Q"&amp;ROUNDUP(MONTH(B68)/3,0))</f>
        <v/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19" t="n"/>
      <c r="T68" s="3" t="n"/>
      <c r="U68" s="3" t="n"/>
      <c r="V68" s="3" t="n"/>
      <c r="W68" s="3" t="n"/>
      <c r="X68" s="3" t="n"/>
    </row>
    <row r="69">
      <c r="A69" s="3" t="n"/>
      <c r="B69" s="18" t="n"/>
      <c r="C69" s="4">
        <f>IF($B69="","",YEAR(B69)&amp;"-Q"&amp;ROUNDUP(MONTH(B69)/3,0))</f>
        <v/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19" t="n"/>
      <c r="T69" s="3" t="n"/>
      <c r="U69" s="3" t="n"/>
      <c r="V69" s="3" t="n"/>
      <c r="W69" s="3" t="n"/>
      <c r="X69" s="3" t="n"/>
    </row>
    <row r="70">
      <c r="A70" s="3" t="n"/>
      <c r="B70" s="18" t="n"/>
      <c r="C70" s="4">
        <f>IF($B70="","",YEAR(B70)&amp;"-Q"&amp;ROUNDUP(MONTH(B70)/3,0))</f>
        <v/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19" t="n"/>
      <c r="T70" s="3" t="n"/>
      <c r="U70" s="3" t="n"/>
      <c r="V70" s="3" t="n"/>
      <c r="W70" s="3" t="n"/>
      <c r="X70" s="3" t="n"/>
    </row>
    <row r="71">
      <c r="A71" s="3" t="n"/>
      <c r="B71" s="18" t="n"/>
      <c r="C71" s="4">
        <f>IF($B71="","",YEAR(B71)&amp;"-Q"&amp;ROUNDUP(MONTH(B71)/3,0))</f>
        <v/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19" t="n"/>
      <c r="T71" s="3" t="n"/>
      <c r="U71" s="3" t="n"/>
      <c r="V71" s="3" t="n"/>
      <c r="W71" s="3" t="n"/>
      <c r="X71" s="3" t="n"/>
    </row>
    <row r="72">
      <c r="A72" s="3" t="n"/>
      <c r="B72" s="18" t="n"/>
      <c r="C72" s="4">
        <f>IF($B72="","",YEAR(B72)&amp;"-Q"&amp;ROUNDUP(MONTH(B72)/3,0))</f>
        <v/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19" t="n"/>
      <c r="T72" s="3" t="n"/>
      <c r="U72" s="3" t="n"/>
      <c r="V72" s="3" t="n"/>
      <c r="W72" s="3" t="n"/>
      <c r="X72" s="3" t="n"/>
    </row>
    <row r="73">
      <c r="A73" s="3" t="n"/>
      <c r="B73" s="18" t="n"/>
      <c r="C73" s="4">
        <f>IF($B73="","",YEAR(B73)&amp;"-Q"&amp;ROUNDUP(MONTH(B73)/3,0))</f>
        <v/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19" t="n"/>
      <c r="T73" s="3" t="n"/>
      <c r="U73" s="3" t="n"/>
      <c r="V73" s="3" t="n"/>
      <c r="W73" s="3" t="n"/>
      <c r="X73" s="3" t="n"/>
    </row>
    <row r="74">
      <c r="A74" s="3" t="n"/>
      <c r="B74" s="18" t="n"/>
      <c r="C74" s="4">
        <f>IF($B74="","",YEAR(B74)&amp;"-Q"&amp;ROUNDUP(MONTH(B74)/3,0))</f>
        <v/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19" t="n"/>
      <c r="T74" s="3" t="n"/>
      <c r="U74" s="3" t="n"/>
      <c r="V74" s="3" t="n"/>
      <c r="W74" s="3" t="n"/>
      <c r="X74" s="3" t="n"/>
    </row>
    <row r="75">
      <c r="A75" s="3" t="n"/>
      <c r="B75" s="18" t="n"/>
      <c r="C75" s="4">
        <f>IF($B75="","",YEAR(B75)&amp;"-Q"&amp;ROUNDUP(MONTH(B75)/3,0))</f>
        <v/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19" t="n"/>
      <c r="T75" s="3" t="n"/>
      <c r="U75" s="3" t="n"/>
      <c r="V75" s="3" t="n"/>
      <c r="W75" s="3" t="n"/>
      <c r="X75" s="3" t="n"/>
    </row>
    <row r="76">
      <c r="A76" s="3" t="n"/>
      <c r="B76" s="18" t="n"/>
      <c r="C76" s="4">
        <f>IF($B76="","",YEAR(B76)&amp;"-Q"&amp;ROUNDUP(MONTH(B76)/3,0))</f>
        <v/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19" t="n"/>
      <c r="T76" s="3" t="n"/>
      <c r="U76" s="3" t="n"/>
      <c r="V76" s="3" t="n"/>
      <c r="W76" s="3" t="n"/>
      <c r="X76" s="3" t="n"/>
    </row>
    <row r="77">
      <c r="A77" s="3" t="n"/>
      <c r="B77" s="18" t="n"/>
      <c r="C77" s="4">
        <f>IF($B77="","",YEAR(B77)&amp;"-Q"&amp;ROUNDUP(MONTH(B77)/3,0))</f>
        <v/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19" t="n"/>
      <c r="T77" s="3" t="n"/>
      <c r="U77" s="3" t="n"/>
      <c r="V77" s="3" t="n"/>
      <c r="W77" s="3" t="n"/>
      <c r="X77" s="3" t="n"/>
    </row>
    <row r="78">
      <c r="A78" s="3" t="n"/>
      <c r="B78" s="18" t="n"/>
      <c r="C78" s="4">
        <f>IF($B78="","",YEAR(B78)&amp;"-Q"&amp;ROUNDUP(MONTH(B78)/3,0))</f>
        <v/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19" t="n"/>
      <c r="T78" s="3" t="n"/>
      <c r="U78" s="3" t="n"/>
      <c r="V78" s="3" t="n"/>
      <c r="W78" s="3" t="n"/>
      <c r="X78" s="3" t="n"/>
    </row>
    <row r="79">
      <c r="A79" s="3" t="n"/>
      <c r="B79" s="18" t="n"/>
      <c r="C79" s="4">
        <f>IF($B79="","",YEAR(B79)&amp;"-Q"&amp;ROUNDUP(MONTH(B79)/3,0))</f>
        <v/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19" t="n"/>
      <c r="T79" s="3" t="n"/>
      <c r="U79" s="3" t="n"/>
      <c r="V79" s="3" t="n"/>
      <c r="W79" s="3" t="n"/>
      <c r="X79" s="3" t="n"/>
    </row>
    <row r="80">
      <c r="A80" s="3" t="n"/>
      <c r="B80" s="18" t="n"/>
      <c r="C80" s="4">
        <f>IF($B80="","",YEAR(B80)&amp;"-Q"&amp;ROUNDUP(MONTH(B80)/3,0))</f>
        <v/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19" t="n"/>
      <c r="T80" s="3" t="n"/>
      <c r="U80" s="3" t="n"/>
      <c r="V80" s="3" t="n"/>
      <c r="W80" s="3" t="n"/>
      <c r="X80" s="3" t="n"/>
    </row>
    <row r="81">
      <c r="A81" s="3" t="n"/>
      <c r="B81" s="18" t="n"/>
      <c r="C81" s="4">
        <f>IF($B81="","",YEAR(B81)&amp;"-Q"&amp;ROUNDUP(MONTH(B81)/3,0))</f>
        <v/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19" t="n"/>
      <c r="T81" s="3" t="n"/>
      <c r="U81" s="3" t="n"/>
      <c r="V81" s="3" t="n"/>
      <c r="W81" s="3" t="n"/>
      <c r="X81" s="3" t="n"/>
    </row>
    <row r="82">
      <c r="A82" s="3" t="n"/>
      <c r="B82" s="18" t="n"/>
      <c r="C82" s="4">
        <f>IF($B82="","",YEAR(B82)&amp;"-Q"&amp;ROUNDUP(MONTH(B82)/3,0))</f>
        <v/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19" t="n"/>
      <c r="T82" s="3" t="n"/>
      <c r="U82" s="3" t="n"/>
      <c r="V82" s="3" t="n"/>
      <c r="W82" s="3" t="n"/>
      <c r="X82" s="3" t="n"/>
    </row>
    <row r="83">
      <c r="A83" s="3" t="n"/>
      <c r="B83" s="18" t="n"/>
      <c r="C83" s="4">
        <f>IF($B83="","",YEAR(B83)&amp;"-Q"&amp;ROUNDUP(MONTH(B83)/3,0))</f>
        <v/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19" t="n"/>
      <c r="T83" s="3" t="n"/>
      <c r="U83" s="3" t="n"/>
      <c r="V83" s="3" t="n"/>
      <c r="W83" s="3" t="n"/>
      <c r="X83" s="3" t="n"/>
    </row>
    <row r="84">
      <c r="A84" s="3" t="n"/>
      <c r="B84" s="18" t="n"/>
      <c r="C84" s="4">
        <f>IF($B84="","",YEAR(B84)&amp;"-Q"&amp;ROUNDUP(MONTH(B84)/3,0))</f>
        <v/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19" t="n"/>
      <c r="T84" s="3" t="n"/>
      <c r="U84" s="3" t="n"/>
      <c r="V84" s="3" t="n"/>
      <c r="W84" s="3" t="n"/>
      <c r="X84" s="3" t="n"/>
    </row>
    <row r="85">
      <c r="A85" s="3" t="n"/>
      <c r="B85" s="18" t="n"/>
      <c r="C85" s="4">
        <f>IF($B85="","",YEAR(B85)&amp;"-Q"&amp;ROUNDUP(MONTH(B85)/3,0))</f>
        <v/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19" t="n"/>
      <c r="T85" s="3" t="n"/>
      <c r="U85" s="3" t="n"/>
      <c r="V85" s="3" t="n"/>
      <c r="W85" s="3" t="n"/>
      <c r="X85" s="3" t="n"/>
    </row>
    <row r="86">
      <c r="A86" s="3" t="n"/>
      <c r="B86" s="18" t="n"/>
      <c r="C86" s="4">
        <f>IF($B86="","",YEAR(B86)&amp;"-Q"&amp;ROUNDUP(MONTH(B86)/3,0))</f>
        <v/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19" t="n"/>
      <c r="T86" s="3" t="n"/>
      <c r="U86" s="3" t="n"/>
      <c r="V86" s="3" t="n"/>
      <c r="W86" s="3" t="n"/>
      <c r="X86" s="3" t="n"/>
    </row>
    <row r="87">
      <c r="A87" s="3" t="n"/>
      <c r="B87" s="18" t="n"/>
      <c r="C87" s="4">
        <f>IF($B87="","",YEAR(B87)&amp;"-Q"&amp;ROUNDUP(MONTH(B87)/3,0))</f>
        <v/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19" t="n"/>
      <c r="T87" s="3" t="n"/>
      <c r="U87" s="3" t="n"/>
      <c r="V87" s="3" t="n"/>
      <c r="W87" s="3" t="n"/>
      <c r="X87" s="3" t="n"/>
    </row>
    <row r="88">
      <c r="A88" s="3" t="n"/>
      <c r="B88" s="18" t="n"/>
      <c r="C88" s="4">
        <f>IF($B88="","",YEAR(B88)&amp;"-Q"&amp;ROUNDUP(MONTH(B88)/3,0))</f>
        <v/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19" t="n"/>
      <c r="T88" s="3" t="n"/>
      <c r="U88" s="3" t="n"/>
      <c r="V88" s="3" t="n"/>
      <c r="W88" s="3" t="n"/>
      <c r="X88" s="3" t="n"/>
    </row>
    <row r="89">
      <c r="A89" s="3" t="n"/>
      <c r="B89" s="18" t="n"/>
      <c r="C89" s="4">
        <f>IF($B89="","",YEAR(B89)&amp;"-Q"&amp;ROUNDUP(MONTH(B89)/3,0))</f>
        <v/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19" t="n"/>
      <c r="T89" s="3" t="n"/>
      <c r="U89" s="3" t="n"/>
      <c r="V89" s="3" t="n"/>
      <c r="W89" s="3" t="n"/>
      <c r="X89" s="3" t="n"/>
    </row>
    <row r="90">
      <c r="A90" s="3" t="n"/>
      <c r="B90" s="18" t="n"/>
      <c r="C90" s="4">
        <f>IF($B90="","",YEAR(B90)&amp;"-Q"&amp;ROUNDUP(MONTH(B90)/3,0))</f>
        <v/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19" t="n"/>
      <c r="T90" s="3" t="n"/>
      <c r="U90" s="3" t="n"/>
      <c r="V90" s="3" t="n"/>
      <c r="W90" s="3" t="n"/>
      <c r="X90" s="3" t="n"/>
    </row>
    <row r="91">
      <c r="A91" s="3" t="n"/>
      <c r="B91" s="18" t="n"/>
      <c r="C91" s="4">
        <f>IF($B91="","",YEAR(B91)&amp;"-Q"&amp;ROUNDUP(MONTH(B91)/3,0))</f>
        <v/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19" t="n"/>
      <c r="T91" s="3" t="n"/>
      <c r="U91" s="3" t="n"/>
      <c r="V91" s="3" t="n"/>
      <c r="W91" s="3" t="n"/>
      <c r="X91" s="3" t="n"/>
    </row>
    <row r="92">
      <c r="A92" s="3" t="n"/>
      <c r="B92" s="18" t="n"/>
      <c r="C92" s="4">
        <f>IF($B92="","",YEAR(B92)&amp;"-Q"&amp;ROUNDUP(MONTH(B92)/3,0))</f>
        <v/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19" t="n"/>
      <c r="T92" s="3" t="n"/>
      <c r="U92" s="3" t="n"/>
      <c r="V92" s="3" t="n"/>
      <c r="W92" s="3" t="n"/>
      <c r="X92" s="3" t="n"/>
    </row>
    <row r="93">
      <c r="A93" s="3" t="n"/>
      <c r="B93" s="18" t="n"/>
      <c r="C93" s="4">
        <f>IF($B93="","",YEAR(B93)&amp;"-Q"&amp;ROUNDUP(MONTH(B93)/3,0))</f>
        <v/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19" t="n"/>
      <c r="T93" s="3" t="n"/>
      <c r="U93" s="3" t="n"/>
      <c r="V93" s="3" t="n"/>
      <c r="W93" s="3" t="n"/>
      <c r="X93" s="3" t="n"/>
    </row>
    <row r="94">
      <c r="A94" s="3" t="n"/>
      <c r="B94" s="18" t="n"/>
      <c r="C94" s="4">
        <f>IF($B94="","",YEAR(B94)&amp;"-Q"&amp;ROUNDUP(MONTH(B94)/3,0))</f>
        <v/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19" t="n"/>
      <c r="T94" s="3" t="n"/>
      <c r="U94" s="3" t="n"/>
      <c r="V94" s="3" t="n"/>
      <c r="W94" s="3" t="n"/>
      <c r="X94" s="3" t="n"/>
    </row>
    <row r="95">
      <c r="A95" s="3" t="n"/>
      <c r="B95" s="18" t="n"/>
      <c r="C95" s="4">
        <f>IF($B95="","",YEAR(B95)&amp;"-Q"&amp;ROUNDUP(MONTH(B95)/3,0))</f>
        <v/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19" t="n"/>
      <c r="T95" s="3" t="n"/>
      <c r="U95" s="3" t="n"/>
      <c r="V95" s="3" t="n"/>
      <c r="W95" s="3" t="n"/>
      <c r="X95" s="3" t="n"/>
    </row>
    <row r="96">
      <c r="A96" s="3" t="n"/>
      <c r="B96" s="18" t="n"/>
      <c r="C96" s="4">
        <f>IF($B96="","",YEAR(B96)&amp;"-Q"&amp;ROUNDUP(MONTH(B96)/3,0))</f>
        <v/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19" t="n"/>
      <c r="T96" s="3" t="n"/>
      <c r="U96" s="3" t="n"/>
      <c r="V96" s="3" t="n"/>
      <c r="W96" s="3" t="n"/>
      <c r="X96" s="3" t="n"/>
    </row>
    <row r="97">
      <c r="A97" s="3" t="n"/>
      <c r="B97" s="18" t="n"/>
      <c r="C97" s="4">
        <f>IF($B97="","",YEAR(B97)&amp;"-Q"&amp;ROUNDUP(MONTH(B97)/3,0))</f>
        <v/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19" t="n"/>
      <c r="T97" s="3" t="n"/>
      <c r="U97" s="3" t="n"/>
      <c r="V97" s="3" t="n"/>
      <c r="W97" s="3" t="n"/>
      <c r="X97" s="3" t="n"/>
    </row>
    <row r="98">
      <c r="A98" s="3" t="n"/>
      <c r="B98" s="18" t="n"/>
      <c r="C98" s="4">
        <f>IF($B98="","",YEAR(B98)&amp;"-Q"&amp;ROUNDUP(MONTH(B98)/3,0))</f>
        <v/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19" t="n"/>
      <c r="T98" s="3" t="n"/>
      <c r="U98" s="3" t="n"/>
      <c r="V98" s="3" t="n"/>
      <c r="W98" s="3" t="n"/>
      <c r="X98" s="3" t="n"/>
    </row>
    <row r="99">
      <c r="A99" s="3" t="n"/>
      <c r="B99" s="18" t="n"/>
      <c r="C99" s="4">
        <f>IF($B99="","",YEAR(B99)&amp;"-Q"&amp;ROUNDUP(MONTH(B99)/3,0))</f>
        <v/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19" t="n"/>
      <c r="T99" s="3" t="n"/>
      <c r="U99" s="3" t="n"/>
      <c r="V99" s="3" t="n"/>
      <c r="W99" s="3" t="n"/>
      <c r="X99" s="3" t="n"/>
    </row>
    <row r="100">
      <c r="A100" s="3" t="n"/>
      <c r="B100" s="18" t="n"/>
      <c r="C100" s="4">
        <f>IF($B100="","",YEAR(B100)&amp;"-Q"&amp;ROUNDUP(MONTH(B100)/3,0))</f>
        <v/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19" t="n"/>
      <c r="T100" s="3" t="n"/>
      <c r="U100" s="3" t="n"/>
      <c r="V100" s="3" t="n"/>
      <c r="W100" s="3" t="n"/>
      <c r="X100" s="3" t="n"/>
    </row>
    <row r="101">
      <c r="A101" s="3" t="n"/>
      <c r="B101" s="18" t="n"/>
      <c r="C101" s="4">
        <f>IF($B101="","",YEAR(B101)&amp;"-Q"&amp;ROUNDUP(MONTH(B101)/3,0))</f>
        <v/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19" t="n"/>
      <c r="T101" s="3" t="n"/>
      <c r="U101" s="3" t="n"/>
      <c r="V101" s="3" t="n"/>
      <c r="W101" s="3" t="n"/>
      <c r="X101" s="3" t="n"/>
    </row>
    <row r="102">
      <c r="A102" s="3" t="n"/>
      <c r="B102" s="18" t="n"/>
      <c r="C102" s="4">
        <f>IF($B102="","",YEAR(B102)&amp;"-Q"&amp;ROUNDUP(MONTH(B102)/3,0))</f>
        <v/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19" t="n"/>
      <c r="T102" s="3" t="n"/>
      <c r="U102" s="3" t="n"/>
      <c r="V102" s="3" t="n"/>
      <c r="W102" s="3" t="n"/>
      <c r="X102" s="3" t="n"/>
    </row>
    <row r="103">
      <c r="A103" s="3" t="n"/>
      <c r="B103" s="18" t="n"/>
      <c r="C103" s="4">
        <f>IF($B103="","",YEAR(B103)&amp;"-Q"&amp;ROUNDUP(MONTH(B103)/3,0))</f>
        <v/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19" t="n"/>
      <c r="T103" s="3" t="n"/>
      <c r="U103" s="3" t="n"/>
      <c r="V103" s="3" t="n"/>
      <c r="W103" s="3" t="n"/>
      <c r="X103" s="3" t="n"/>
    </row>
    <row r="104">
      <c r="A104" s="3" t="n"/>
      <c r="B104" s="18" t="n"/>
      <c r="C104" s="4">
        <f>IF($B104="","",YEAR(B104)&amp;"-Q"&amp;ROUNDUP(MONTH(B104)/3,0))</f>
        <v/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19" t="n"/>
      <c r="T104" s="3" t="n"/>
      <c r="U104" s="3" t="n"/>
      <c r="V104" s="3" t="n"/>
      <c r="W104" s="3" t="n"/>
      <c r="X104" s="3" t="n"/>
    </row>
    <row r="105">
      <c r="A105" s="3" t="n"/>
      <c r="B105" s="18" t="n"/>
      <c r="C105" s="4">
        <f>IF($B105="","",YEAR(B105)&amp;"-Q"&amp;ROUNDUP(MONTH(B105)/3,0))</f>
        <v/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19" t="n"/>
      <c r="T105" s="3" t="n"/>
      <c r="U105" s="3" t="n"/>
      <c r="V105" s="3" t="n"/>
      <c r="W105" s="3" t="n"/>
      <c r="X105" s="3" t="n"/>
    </row>
    <row r="106">
      <c r="A106" s="3" t="n"/>
      <c r="B106" s="18" t="n"/>
      <c r="C106" s="4">
        <f>IF($B106="","",YEAR(B106)&amp;"-Q"&amp;ROUNDUP(MONTH(B106)/3,0))</f>
        <v/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19" t="n"/>
      <c r="T106" s="3" t="n"/>
      <c r="U106" s="3" t="n"/>
      <c r="V106" s="3" t="n"/>
      <c r="W106" s="3" t="n"/>
      <c r="X106" s="3" t="n"/>
    </row>
    <row r="107">
      <c r="A107" s="3" t="n"/>
      <c r="B107" s="18" t="n"/>
      <c r="C107" s="4">
        <f>IF($B107="","",YEAR(B107)&amp;"-Q"&amp;ROUNDUP(MONTH(B107)/3,0))</f>
        <v/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19" t="n"/>
      <c r="T107" s="3" t="n"/>
      <c r="U107" s="3" t="n"/>
      <c r="V107" s="3" t="n"/>
      <c r="W107" s="3" t="n"/>
      <c r="X107" s="3" t="n"/>
    </row>
    <row r="108">
      <c r="A108" s="3" t="n"/>
      <c r="B108" s="18" t="n"/>
      <c r="C108" s="4">
        <f>IF($B108="","",YEAR(B108)&amp;"-Q"&amp;ROUNDUP(MONTH(B108)/3,0))</f>
        <v/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19" t="n"/>
      <c r="T108" s="3" t="n"/>
      <c r="U108" s="3" t="n"/>
      <c r="V108" s="3" t="n"/>
      <c r="W108" s="3" t="n"/>
      <c r="X108" s="3" t="n"/>
    </row>
    <row r="109">
      <c r="A109" s="3" t="n"/>
      <c r="B109" s="18" t="n"/>
      <c r="C109" s="4">
        <f>IF($B109="","",YEAR(B109)&amp;"-Q"&amp;ROUNDUP(MONTH(B109)/3,0))</f>
        <v/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19" t="n"/>
      <c r="T109" s="3" t="n"/>
      <c r="U109" s="3" t="n"/>
      <c r="V109" s="3" t="n"/>
      <c r="W109" s="3" t="n"/>
      <c r="X109" s="3" t="n"/>
    </row>
    <row r="110">
      <c r="A110" s="3" t="n"/>
      <c r="B110" s="18" t="n"/>
      <c r="C110" s="4">
        <f>IF($B110="","",YEAR(B110)&amp;"-Q"&amp;ROUNDUP(MONTH(B110)/3,0))</f>
        <v/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19" t="n"/>
      <c r="T110" s="3" t="n"/>
      <c r="U110" s="3" t="n"/>
      <c r="V110" s="3" t="n"/>
      <c r="W110" s="3" t="n"/>
      <c r="X110" s="3" t="n"/>
    </row>
    <row r="111">
      <c r="A111" s="3" t="n"/>
      <c r="B111" s="18" t="n"/>
      <c r="C111" s="4">
        <f>IF($B111="","",YEAR(B111)&amp;"-Q"&amp;ROUNDUP(MONTH(B111)/3,0))</f>
        <v/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19" t="n"/>
      <c r="T111" s="3" t="n"/>
      <c r="U111" s="3" t="n"/>
      <c r="V111" s="3" t="n"/>
      <c r="W111" s="3" t="n"/>
      <c r="X111" s="3" t="n"/>
    </row>
    <row r="112">
      <c r="A112" s="3" t="n"/>
      <c r="B112" s="18" t="n"/>
      <c r="C112" s="4">
        <f>IF($B112="","",YEAR(B112)&amp;"-Q"&amp;ROUNDUP(MONTH(B112)/3,0))</f>
        <v/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19" t="n"/>
      <c r="T112" s="3" t="n"/>
      <c r="U112" s="3" t="n"/>
      <c r="V112" s="3" t="n"/>
      <c r="W112" s="3" t="n"/>
      <c r="X112" s="3" t="n"/>
    </row>
    <row r="113">
      <c r="A113" s="3" t="n"/>
      <c r="B113" s="18" t="n"/>
      <c r="C113" s="4">
        <f>IF($B113="","",YEAR(B113)&amp;"-Q"&amp;ROUNDUP(MONTH(B113)/3,0))</f>
        <v/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19" t="n"/>
      <c r="T113" s="3" t="n"/>
      <c r="U113" s="3" t="n"/>
      <c r="V113" s="3" t="n"/>
      <c r="W113" s="3" t="n"/>
      <c r="X113" s="3" t="n"/>
    </row>
    <row r="114">
      <c r="A114" s="3" t="n"/>
      <c r="B114" s="18" t="n"/>
      <c r="C114" s="4">
        <f>IF($B114="","",YEAR(B114)&amp;"-Q"&amp;ROUNDUP(MONTH(B114)/3,0))</f>
        <v/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19" t="n"/>
      <c r="T114" s="3" t="n"/>
      <c r="U114" s="3" t="n"/>
      <c r="V114" s="3" t="n"/>
      <c r="W114" s="3" t="n"/>
      <c r="X114" s="3" t="n"/>
    </row>
    <row r="115">
      <c r="A115" s="3" t="n"/>
      <c r="B115" s="18" t="n"/>
      <c r="C115" s="4">
        <f>IF($B115="","",YEAR(B115)&amp;"-Q"&amp;ROUNDUP(MONTH(B115)/3,0))</f>
        <v/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19" t="n"/>
      <c r="T115" s="3" t="n"/>
      <c r="U115" s="3" t="n"/>
      <c r="V115" s="3" t="n"/>
      <c r="W115" s="3" t="n"/>
      <c r="X115" s="3" t="n"/>
    </row>
    <row r="116">
      <c r="A116" s="3" t="n"/>
      <c r="B116" s="18" t="n"/>
      <c r="C116" s="4">
        <f>IF($B116="","",YEAR(B116)&amp;"-Q"&amp;ROUNDUP(MONTH(B116)/3,0))</f>
        <v/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19" t="n"/>
      <c r="T116" s="3" t="n"/>
      <c r="U116" s="3" t="n"/>
      <c r="V116" s="3" t="n"/>
      <c r="W116" s="3" t="n"/>
      <c r="X116" s="3" t="n"/>
    </row>
    <row r="117">
      <c r="A117" s="3" t="n"/>
      <c r="B117" s="18" t="n"/>
      <c r="C117" s="4">
        <f>IF($B117="","",YEAR(B117)&amp;"-Q"&amp;ROUNDUP(MONTH(B117)/3,0))</f>
        <v/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19" t="n"/>
      <c r="T117" s="3" t="n"/>
      <c r="U117" s="3" t="n"/>
      <c r="V117" s="3" t="n"/>
      <c r="W117" s="3" t="n"/>
      <c r="X117" s="3" t="n"/>
    </row>
    <row r="118">
      <c r="A118" s="3" t="n"/>
      <c r="B118" s="18" t="n"/>
      <c r="C118" s="4">
        <f>IF($B118="","",YEAR(B118)&amp;"-Q"&amp;ROUNDUP(MONTH(B118)/3,0))</f>
        <v/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19" t="n"/>
      <c r="T118" s="3" t="n"/>
      <c r="U118" s="3" t="n"/>
      <c r="V118" s="3" t="n"/>
      <c r="W118" s="3" t="n"/>
      <c r="X118" s="3" t="n"/>
    </row>
    <row r="119">
      <c r="A119" s="3" t="n"/>
      <c r="B119" s="18" t="n"/>
      <c r="C119" s="4">
        <f>IF($B119="","",YEAR(B119)&amp;"-Q"&amp;ROUNDUP(MONTH(B119)/3,0))</f>
        <v/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19" t="n"/>
      <c r="T119" s="3" t="n"/>
      <c r="U119" s="3" t="n"/>
      <c r="V119" s="3" t="n"/>
      <c r="W119" s="3" t="n"/>
      <c r="X119" s="3" t="n"/>
    </row>
    <row r="120">
      <c r="A120" s="3" t="n"/>
      <c r="B120" s="18" t="n"/>
      <c r="C120" s="4">
        <f>IF($B120="","",YEAR(B120)&amp;"-Q"&amp;ROUNDUP(MONTH(B120)/3,0))</f>
        <v/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19" t="n"/>
      <c r="T120" s="3" t="n"/>
      <c r="U120" s="3" t="n"/>
      <c r="V120" s="3" t="n"/>
      <c r="W120" s="3" t="n"/>
      <c r="X120" s="3" t="n"/>
    </row>
    <row r="121">
      <c r="A121" s="3" t="n"/>
      <c r="B121" s="18" t="n"/>
      <c r="C121" s="4">
        <f>IF($B121="","",YEAR(B121)&amp;"-Q"&amp;ROUNDUP(MONTH(B121)/3,0))</f>
        <v/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19" t="n"/>
      <c r="T121" s="3" t="n"/>
      <c r="U121" s="3" t="n"/>
      <c r="V121" s="3" t="n"/>
      <c r="W121" s="3" t="n"/>
      <c r="X121" s="3" t="n"/>
    </row>
    <row r="122">
      <c r="A122" s="3" t="n"/>
      <c r="B122" s="18" t="n"/>
      <c r="C122" s="4">
        <f>IF($B122="","",YEAR(B122)&amp;"-Q"&amp;ROUNDUP(MONTH(B122)/3,0))</f>
        <v/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19" t="n"/>
      <c r="T122" s="3" t="n"/>
      <c r="U122" s="3" t="n"/>
      <c r="V122" s="3" t="n"/>
      <c r="W122" s="3" t="n"/>
      <c r="X122" s="3" t="n"/>
    </row>
    <row r="123">
      <c r="A123" s="3" t="n"/>
      <c r="B123" s="18" t="n"/>
      <c r="C123" s="4">
        <f>IF($B123="","",YEAR(B123)&amp;"-Q"&amp;ROUNDUP(MONTH(B123)/3,0))</f>
        <v/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19" t="n"/>
      <c r="T123" s="3" t="n"/>
      <c r="U123" s="3" t="n"/>
      <c r="V123" s="3" t="n"/>
      <c r="W123" s="3" t="n"/>
      <c r="X123" s="3" t="n"/>
    </row>
    <row r="124">
      <c r="A124" s="3" t="n"/>
      <c r="B124" s="18" t="n"/>
      <c r="C124" s="4">
        <f>IF($B124="","",YEAR(B124)&amp;"-Q"&amp;ROUNDUP(MONTH(B124)/3,0))</f>
        <v/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19" t="n"/>
      <c r="T124" s="3" t="n"/>
      <c r="U124" s="3" t="n"/>
      <c r="V124" s="3" t="n"/>
      <c r="W124" s="3" t="n"/>
      <c r="X124" s="3" t="n"/>
    </row>
    <row r="125">
      <c r="A125" s="3" t="n"/>
      <c r="B125" s="18" t="n"/>
      <c r="C125" s="4">
        <f>IF($B125="","",YEAR(B125)&amp;"-Q"&amp;ROUNDUP(MONTH(B125)/3,0))</f>
        <v/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19" t="n"/>
      <c r="T125" s="3" t="n"/>
      <c r="U125" s="3" t="n"/>
      <c r="V125" s="3" t="n"/>
      <c r="W125" s="3" t="n"/>
      <c r="X125" s="3" t="n"/>
    </row>
    <row r="126">
      <c r="A126" s="3" t="n"/>
      <c r="B126" s="18" t="n"/>
      <c r="C126" s="4">
        <f>IF($B126="","",YEAR(B126)&amp;"-Q"&amp;ROUNDUP(MONTH(B126)/3,0))</f>
        <v/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19" t="n"/>
      <c r="T126" s="3" t="n"/>
      <c r="U126" s="3" t="n"/>
      <c r="V126" s="3" t="n"/>
      <c r="W126" s="3" t="n"/>
      <c r="X126" s="3" t="n"/>
    </row>
    <row r="127">
      <c r="A127" s="3" t="n"/>
      <c r="B127" s="18" t="n"/>
      <c r="C127" s="4">
        <f>IF($B127="","",YEAR(B127)&amp;"-Q"&amp;ROUNDUP(MONTH(B127)/3,0))</f>
        <v/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19" t="n"/>
      <c r="T127" s="3" t="n"/>
      <c r="U127" s="3" t="n"/>
      <c r="V127" s="3" t="n"/>
      <c r="W127" s="3" t="n"/>
      <c r="X127" s="3" t="n"/>
    </row>
    <row r="128">
      <c r="A128" s="3" t="n"/>
      <c r="B128" s="18" t="n"/>
      <c r="C128" s="4">
        <f>IF($B128="","",YEAR(B128)&amp;"-Q"&amp;ROUNDUP(MONTH(B128)/3,0))</f>
        <v/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19" t="n"/>
      <c r="T128" s="3" t="n"/>
      <c r="U128" s="3" t="n"/>
      <c r="V128" s="3" t="n"/>
      <c r="W128" s="3" t="n"/>
      <c r="X128" s="3" t="n"/>
    </row>
    <row r="129">
      <c r="A129" s="3" t="n"/>
      <c r="B129" s="18" t="n"/>
      <c r="C129" s="4">
        <f>IF($B129="","",YEAR(B129)&amp;"-Q"&amp;ROUNDUP(MONTH(B129)/3,0))</f>
        <v/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19" t="n"/>
      <c r="T129" s="3" t="n"/>
      <c r="U129" s="3" t="n"/>
      <c r="V129" s="3" t="n"/>
      <c r="W129" s="3" t="n"/>
      <c r="X129" s="3" t="n"/>
    </row>
    <row r="130">
      <c r="A130" s="3" t="n"/>
      <c r="B130" s="18" t="n"/>
      <c r="C130" s="4">
        <f>IF($B130="","",YEAR(B130)&amp;"-Q"&amp;ROUNDUP(MONTH(B130)/3,0))</f>
        <v/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19" t="n"/>
      <c r="T130" s="3" t="n"/>
      <c r="U130" s="3" t="n"/>
      <c r="V130" s="3" t="n"/>
      <c r="W130" s="3" t="n"/>
      <c r="X130" s="3" t="n"/>
    </row>
    <row r="131">
      <c r="A131" s="3" t="n"/>
      <c r="B131" s="18" t="n"/>
      <c r="C131" s="4">
        <f>IF($B131="","",YEAR(B131)&amp;"-Q"&amp;ROUNDUP(MONTH(B131)/3,0))</f>
        <v/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19" t="n"/>
      <c r="T131" s="3" t="n"/>
      <c r="U131" s="3" t="n"/>
      <c r="V131" s="3" t="n"/>
      <c r="W131" s="3" t="n"/>
      <c r="X131" s="3" t="n"/>
    </row>
    <row r="132">
      <c r="A132" s="3" t="n"/>
      <c r="B132" s="18" t="n"/>
      <c r="C132" s="4">
        <f>IF($B132="","",YEAR(B132)&amp;"-Q"&amp;ROUNDUP(MONTH(B132)/3,0))</f>
        <v/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19" t="n"/>
      <c r="T132" s="3" t="n"/>
      <c r="U132" s="3" t="n"/>
      <c r="V132" s="3" t="n"/>
      <c r="W132" s="3" t="n"/>
      <c r="X132" s="3" t="n"/>
    </row>
    <row r="133">
      <c r="A133" s="3" t="n"/>
      <c r="B133" s="18" t="n"/>
      <c r="C133" s="4">
        <f>IF($B133="","",YEAR(B133)&amp;"-Q"&amp;ROUNDUP(MONTH(B133)/3,0))</f>
        <v/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19" t="n"/>
      <c r="T133" s="3" t="n"/>
      <c r="U133" s="3" t="n"/>
      <c r="V133" s="3" t="n"/>
      <c r="W133" s="3" t="n"/>
      <c r="X133" s="3" t="n"/>
    </row>
    <row r="134">
      <c r="A134" s="3" t="n"/>
      <c r="B134" s="18" t="n"/>
      <c r="C134" s="4">
        <f>IF($B134="","",YEAR(B134)&amp;"-Q"&amp;ROUNDUP(MONTH(B134)/3,0))</f>
        <v/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19" t="n"/>
      <c r="T134" s="3" t="n"/>
      <c r="U134" s="3" t="n"/>
      <c r="V134" s="3" t="n"/>
      <c r="W134" s="3" t="n"/>
      <c r="X134" s="3" t="n"/>
    </row>
    <row r="135">
      <c r="A135" s="3" t="n"/>
      <c r="B135" s="18" t="n"/>
      <c r="C135" s="4">
        <f>IF($B135="","",YEAR(B135)&amp;"-Q"&amp;ROUNDUP(MONTH(B135)/3,0))</f>
        <v/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19" t="n"/>
      <c r="T135" s="3" t="n"/>
      <c r="U135" s="3" t="n"/>
      <c r="V135" s="3" t="n"/>
      <c r="W135" s="3" t="n"/>
      <c r="X135" s="3" t="n"/>
    </row>
    <row r="136">
      <c r="A136" s="3" t="n"/>
      <c r="B136" s="18" t="n"/>
      <c r="C136" s="4">
        <f>IF($B136="","",YEAR(B136)&amp;"-Q"&amp;ROUNDUP(MONTH(B136)/3,0))</f>
        <v/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19" t="n"/>
      <c r="T136" s="3" t="n"/>
      <c r="U136" s="3" t="n"/>
      <c r="V136" s="3" t="n"/>
      <c r="W136" s="3" t="n"/>
      <c r="X136" s="3" t="n"/>
    </row>
    <row r="137">
      <c r="A137" s="3" t="n"/>
      <c r="B137" s="18" t="n"/>
      <c r="C137" s="4">
        <f>IF($B137="","",YEAR(B137)&amp;"-Q"&amp;ROUNDUP(MONTH(B137)/3,0))</f>
        <v/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19" t="n"/>
      <c r="T137" s="3" t="n"/>
      <c r="U137" s="3" t="n"/>
      <c r="V137" s="3" t="n"/>
      <c r="W137" s="3" t="n"/>
      <c r="X137" s="3" t="n"/>
    </row>
    <row r="138">
      <c r="A138" s="3" t="n"/>
      <c r="B138" s="18" t="n"/>
      <c r="C138" s="4">
        <f>IF($B138="","",YEAR(B138)&amp;"-Q"&amp;ROUNDUP(MONTH(B138)/3,0))</f>
        <v/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19" t="n"/>
      <c r="T138" s="3" t="n"/>
      <c r="U138" s="3" t="n"/>
      <c r="V138" s="3" t="n"/>
      <c r="W138" s="3" t="n"/>
      <c r="X138" s="3" t="n"/>
    </row>
    <row r="139">
      <c r="A139" s="3" t="n"/>
      <c r="B139" s="18" t="n"/>
      <c r="C139" s="4">
        <f>IF($B139="","",YEAR(B139)&amp;"-Q"&amp;ROUNDUP(MONTH(B139)/3,0))</f>
        <v/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19" t="n"/>
      <c r="T139" s="3" t="n"/>
      <c r="U139" s="3" t="n"/>
      <c r="V139" s="3" t="n"/>
      <c r="W139" s="3" t="n"/>
      <c r="X139" s="3" t="n"/>
    </row>
    <row r="140">
      <c r="A140" s="3" t="n"/>
      <c r="B140" s="18" t="n"/>
      <c r="C140" s="4">
        <f>IF($B140="","",YEAR(B140)&amp;"-Q"&amp;ROUNDUP(MONTH(B140)/3,0))</f>
        <v/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19" t="n"/>
      <c r="T140" s="3" t="n"/>
      <c r="U140" s="3" t="n"/>
      <c r="V140" s="3" t="n"/>
      <c r="W140" s="3" t="n"/>
      <c r="X140" s="3" t="n"/>
    </row>
    <row r="141">
      <c r="A141" s="3" t="n"/>
      <c r="B141" s="18" t="n"/>
      <c r="C141" s="4">
        <f>IF($B141="","",YEAR(B141)&amp;"-Q"&amp;ROUNDUP(MONTH(B141)/3,0))</f>
        <v/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19" t="n"/>
      <c r="T141" s="3" t="n"/>
      <c r="U141" s="3" t="n"/>
      <c r="V141" s="3" t="n"/>
      <c r="W141" s="3" t="n"/>
      <c r="X141" s="3" t="n"/>
    </row>
    <row r="142">
      <c r="A142" s="3" t="n"/>
      <c r="B142" s="18" t="n"/>
      <c r="C142" s="4">
        <f>IF($B142="","",YEAR(B142)&amp;"-Q"&amp;ROUNDUP(MONTH(B142)/3,0))</f>
        <v/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19" t="n"/>
      <c r="T142" s="3" t="n"/>
      <c r="U142" s="3" t="n"/>
      <c r="V142" s="3" t="n"/>
      <c r="W142" s="3" t="n"/>
      <c r="X142" s="3" t="n"/>
    </row>
    <row r="143">
      <c r="A143" s="3" t="n"/>
      <c r="B143" s="18" t="n"/>
      <c r="C143" s="4">
        <f>IF($B143="","",YEAR(B143)&amp;"-Q"&amp;ROUNDUP(MONTH(B143)/3,0))</f>
        <v/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19" t="n"/>
      <c r="T143" s="3" t="n"/>
      <c r="U143" s="3" t="n"/>
      <c r="V143" s="3" t="n"/>
      <c r="W143" s="3" t="n"/>
      <c r="X143" s="3" t="n"/>
    </row>
    <row r="144">
      <c r="A144" s="3" t="n"/>
      <c r="B144" s="18" t="n"/>
      <c r="C144" s="4">
        <f>IF($B144="","",YEAR(B144)&amp;"-Q"&amp;ROUNDUP(MONTH(B144)/3,0))</f>
        <v/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19" t="n"/>
      <c r="T144" s="3" t="n"/>
      <c r="U144" s="3" t="n"/>
      <c r="V144" s="3" t="n"/>
      <c r="W144" s="3" t="n"/>
      <c r="X144" s="3" t="n"/>
    </row>
    <row r="145">
      <c r="A145" s="3" t="n"/>
      <c r="B145" s="18" t="n"/>
      <c r="C145" s="4">
        <f>IF($B145="","",YEAR(B145)&amp;"-Q"&amp;ROUNDUP(MONTH(B145)/3,0))</f>
        <v/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19" t="n"/>
      <c r="T145" s="3" t="n"/>
      <c r="U145" s="3" t="n"/>
      <c r="V145" s="3" t="n"/>
      <c r="W145" s="3" t="n"/>
      <c r="X145" s="3" t="n"/>
    </row>
    <row r="146">
      <c r="A146" s="3" t="n"/>
      <c r="B146" s="18" t="n"/>
      <c r="C146" s="4">
        <f>IF($B146="","",YEAR(B146)&amp;"-Q"&amp;ROUNDUP(MONTH(B146)/3,0))</f>
        <v/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19" t="n"/>
      <c r="T146" s="3" t="n"/>
      <c r="U146" s="3" t="n"/>
      <c r="V146" s="3" t="n"/>
      <c r="W146" s="3" t="n"/>
      <c r="X146" s="3" t="n"/>
    </row>
    <row r="147">
      <c r="A147" s="3" t="n"/>
      <c r="B147" s="18" t="n"/>
      <c r="C147" s="4">
        <f>IF($B147="","",YEAR(B147)&amp;"-Q"&amp;ROUNDUP(MONTH(B147)/3,0))</f>
        <v/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19" t="n"/>
      <c r="T147" s="3" t="n"/>
      <c r="U147" s="3" t="n"/>
      <c r="V147" s="3" t="n"/>
      <c r="W147" s="3" t="n"/>
      <c r="X147" s="3" t="n"/>
    </row>
    <row r="148">
      <c r="A148" s="3" t="n"/>
      <c r="B148" s="18" t="n"/>
      <c r="C148" s="4">
        <f>IF($B148="","",YEAR(B148)&amp;"-Q"&amp;ROUNDUP(MONTH(B148)/3,0))</f>
        <v/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19" t="n"/>
      <c r="T148" s="3" t="n"/>
      <c r="U148" s="3" t="n"/>
      <c r="V148" s="3" t="n"/>
      <c r="W148" s="3" t="n"/>
      <c r="X148" s="3" t="n"/>
    </row>
    <row r="149">
      <c r="A149" s="3" t="n"/>
      <c r="B149" s="18" t="n"/>
      <c r="C149" s="4">
        <f>IF($B149="","",YEAR(B149)&amp;"-Q"&amp;ROUNDUP(MONTH(B149)/3,0))</f>
        <v/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19" t="n"/>
      <c r="T149" s="3" t="n"/>
      <c r="U149" s="3" t="n"/>
      <c r="V149" s="3" t="n"/>
      <c r="W149" s="3" t="n"/>
      <c r="X149" s="3" t="n"/>
    </row>
    <row r="150">
      <c r="A150" s="3" t="n"/>
      <c r="B150" s="18" t="n"/>
      <c r="C150" s="4">
        <f>IF($B150="","",YEAR(B150)&amp;"-Q"&amp;ROUNDUP(MONTH(B150)/3,0))</f>
        <v/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19" t="n"/>
      <c r="T150" s="3" t="n"/>
      <c r="U150" s="3" t="n"/>
      <c r="V150" s="3" t="n"/>
      <c r="W150" s="3" t="n"/>
      <c r="X150" s="3" t="n"/>
    </row>
    <row r="151">
      <c r="A151" s="3" t="n"/>
      <c r="B151" s="18" t="n"/>
      <c r="C151" s="4">
        <f>IF($B151="","",YEAR(B151)&amp;"-Q"&amp;ROUNDUP(MONTH(B151)/3,0))</f>
        <v/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19" t="n"/>
      <c r="T151" s="3" t="n"/>
      <c r="U151" s="3" t="n"/>
      <c r="V151" s="3" t="n"/>
      <c r="W151" s="3" t="n"/>
      <c r="X151" s="3" t="n"/>
    </row>
    <row r="152">
      <c r="A152" s="3" t="n"/>
      <c r="B152" s="18" t="n"/>
      <c r="C152" s="4">
        <f>IF($B152="","",YEAR(B152)&amp;"-Q"&amp;ROUNDUP(MONTH(B152)/3,0))</f>
        <v/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19" t="n"/>
      <c r="T152" s="3" t="n"/>
      <c r="U152" s="3" t="n"/>
      <c r="V152" s="3" t="n"/>
      <c r="W152" s="3" t="n"/>
      <c r="X152" s="3" t="n"/>
    </row>
    <row r="153">
      <c r="A153" s="3" t="n"/>
      <c r="B153" s="18" t="n"/>
      <c r="C153" s="4">
        <f>IF($B153="","",YEAR(B153)&amp;"-Q"&amp;ROUNDUP(MONTH(B153)/3,0))</f>
        <v/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19" t="n"/>
      <c r="T153" s="3" t="n"/>
      <c r="U153" s="3" t="n"/>
      <c r="V153" s="3" t="n"/>
      <c r="W153" s="3" t="n"/>
      <c r="X153" s="3" t="n"/>
    </row>
    <row r="154">
      <c r="A154" s="3" t="n"/>
      <c r="B154" s="18" t="n"/>
      <c r="C154" s="4">
        <f>IF($B154="","",YEAR(B154)&amp;"-Q"&amp;ROUNDUP(MONTH(B154)/3,0))</f>
        <v/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19" t="n"/>
      <c r="T154" s="3" t="n"/>
      <c r="U154" s="3" t="n"/>
      <c r="V154" s="3" t="n"/>
      <c r="W154" s="3" t="n"/>
      <c r="X154" s="3" t="n"/>
    </row>
    <row r="155">
      <c r="A155" s="3" t="n"/>
      <c r="B155" s="18" t="n"/>
      <c r="C155" s="4">
        <f>IF($B155="","",YEAR(B155)&amp;"-Q"&amp;ROUNDUP(MONTH(B155)/3,0))</f>
        <v/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19" t="n"/>
      <c r="T155" s="3" t="n"/>
      <c r="U155" s="3" t="n"/>
      <c r="V155" s="3" t="n"/>
      <c r="W155" s="3" t="n"/>
      <c r="X155" s="3" t="n"/>
    </row>
    <row r="156">
      <c r="A156" s="3" t="n"/>
      <c r="B156" s="18" t="n"/>
      <c r="C156" s="4">
        <f>IF($B156="","",YEAR(B156)&amp;"-Q"&amp;ROUNDUP(MONTH(B156)/3,0))</f>
        <v/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19" t="n"/>
      <c r="T156" s="3" t="n"/>
      <c r="U156" s="3" t="n"/>
      <c r="V156" s="3" t="n"/>
      <c r="W156" s="3" t="n"/>
      <c r="X156" s="3" t="n"/>
    </row>
    <row r="157">
      <c r="A157" s="3" t="n"/>
      <c r="B157" s="18" t="n"/>
      <c r="C157" s="4">
        <f>IF($B157="","",YEAR(B157)&amp;"-Q"&amp;ROUNDUP(MONTH(B157)/3,0))</f>
        <v/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19" t="n"/>
      <c r="T157" s="3" t="n"/>
      <c r="U157" s="3" t="n"/>
      <c r="V157" s="3" t="n"/>
      <c r="W157" s="3" t="n"/>
      <c r="X157" s="3" t="n"/>
    </row>
    <row r="158">
      <c r="A158" s="3" t="n"/>
      <c r="B158" s="18" t="n"/>
      <c r="C158" s="4">
        <f>IF($B158="","",YEAR(B158)&amp;"-Q"&amp;ROUNDUP(MONTH(B158)/3,0))</f>
        <v/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19" t="n"/>
      <c r="T158" s="3" t="n"/>
      <c r="U158" s="3" t="n"/>
      <c r="V158" s="3" t="n"/>
      <c r="W158" s="3" t="n"/>
      <c r="X158" s="3" t="n"/>
    </row>
    <row r="159">
      <c r="A159" s="3" t="n"/>
      <c r="B159" s="18" t="n"/>
      <c r="C159" s="4">
        <f>IF($B159="","",YEAR(B159)&amp;"-Q"&amp;ROUNDUP(MONTH(B159)/3,0))</f>
        <v/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19" t="n"/>
      <c r="T159" s="3" t="n"/>
      <c r="U159" s="3" t="n"/>
      <c r="V159" s="3" t="n"/>
      <c r="W159" s="3" t="n"/>
      <c r="X159" s="3" t="n"/>
    </row>
    <row r="160">
      <c r="A160" s="3" t="n"/>
      <c r="B160" s="18" t="n"/>
      <c r="C160" s="4">
        <f>IF($B160="","",YEAR(B160)&amp;"-Q"&amp;ROUNDUP(MONTH(B160)/3,0))</f>
        <v/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19" t="n"/>
      <c r="T160" s="3" t="n"/>
      <c r="U160" s="3" t="n"/>
      <c r="V160" s="3" t="n"/>
      <c r="W160" s="3" t="n"/>
      <c r="X160" s="3" t="n"/>
    </row>
    <row r="161">
      <c r="A161" s="3" t="n"/>
      <c r="B161" s="18" t="n"/>
      <c r="C161" s="4">
        <f>IF($B161="","",YEAR(B161)&amp;"-Q"&amp;ROUNDUP(MONTH(B161)/3,0))</f>
        <v/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19" t="n"/>
      <c r="T161" s="3" t="n"/>
      <c r="U161" s="3" t="n"/>
      <c r="V161" s="3" t="n"/>
      <c r="W161" s="3" t="n"/>
      <c r="X161" s="3" t="n"/>
    </row>
    <row r="162">
      <c r="A162" s="3" t="n"/>
      <c r="B162" s="18" t="n"/>
      <c r="C162" s="4">
        <f>IF($B162="","",YEAR(B162)&amp;"-Q"&amp;ROUNDUP(MONTH(B162)/3,0))</f>
        <v/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19" t="n"/>
      <c r="T162" s="3" t="n"/>
      <c r="U162" s="3" t="n"/>
      <c r="V162" s="3" t="n"/>
      <c r="W162" s="3" t="n"/>
      <c r="X162" s="3" t="n"/>
    </row>
    <row r="163">
      <c r="A163" s="3" t="n"/>
      <c r="B163" s="18" t="n"/>
      <c r="C163" s="4">
        <f>IF($B163="","",YEAR(B163)&amp;"-Q"&amp;ROUNDUP(MONTH(B163)/3,0))</f>
        <v/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19" t="n"/>
      <c r="T163" s="3" t="n"/>
      <c r="U163" s="3" t="n"/>
      <c r="V163" s="3" t="n"/>
      <c r="W163" s="3" t="n"/>
      <c r="X163" s="3" t="n"/>
    </row>
    <row r="164">
      <c r="A164" s="3" t="n"/>
      <c r="B164" s="18" t="n"/>
      <c r="C164" s="4">
        <f>IF($B164="","",YEAR(B164)&amp;"-Q"&amp;ROUNDUP(MONTH(B164)/3,0))</f>
        <v/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19" t="n"/>
      <c r="T164" s="3" t="n"/>
      <c r="U164" s="3" t="n"/>
      <c r="V164" s="3" t="n"/>
      <c r="W164" s="3" t="n"/>
      <c r="X164" s="3" t="n"/>
    </row>
    <row r="165">
      <c r="A165" s="3" t="n"/>
      <c r="B165" s="18" t="n"/>
      <c r="C165" s="4">
        <f>IF($B165="","",YEAR(B165)&amp;"-Q"&amp;ROUNDUP(MONTH(B165)/3,0))</f>
        <v/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19" t="n"/>
      <c r="T165" s="3" t="n"/>
      <c r="U165" s="3" t="n"/>
      <c r="V165" s="3" t="n"/>
      <c r="W165" s="3" t="n"/>
      <c r="X165" s="3" t="n"/>
    </row>
    <row r="166">
      <c r="A166" s="3" t="n"/>
      <c r="B166" s="18" t="n"/>
      <c r="C166" s="4">
        <f>IF($B166="","",YEAR(B166)&amp;"-Q"&amp;ROUNDUP(MONTH(B166)/3,0))</f>
        <v/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19" t="n"/>
      <c r="T166" s="3" t="n"/>
      <c r="U166" s="3" t="n"/>
      <c r="V166" s="3" t="n"/>
      <c r="W166" s="3" t="n"/>
      <c r="X166" s="3" t="n"/>
    </row>
    <row r="167">
      <c r="A167" s="3" t="n"/>
      <c r="B167" s="18" t="n"/>
      <c r="C167" s="4">
        <f>IF($B167="","",YEAR(B167)&amp;"-Q"&amp;ROUNDUP(MONTH(B167)/3,0))</f>
        <v/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19" t="n"/>
      <c r="T167" s="3" t="n"/>
      <c r="U167" s="3" t="n"/>
      <c r="V167" s="3" t="n"/>
      <c r="W167" s="3" t="n"/>
      <c r="X167" s="3" t="n"/>
    </row>
    <row r="168">
      <c r="A168" s="3" t="n"/>
      <c r="B168" s="18" t="n"/>
      <c r="C168" s="4">
        <f>IF($B168="","",YEAR(B168)&amp;"-Q"&amp;ROUNDUP(MONTH(B168)/3,0))</f>
        <v/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19" t="n"/>
      <c r="T168" s="3" t="n"/>
      <c r="U168" s="3" t="n"/>
      <c r="V168" s="3" t="n"/>
      <c r="W168" s="3" t="n"/>
      <c r="X168" s="3" t="n"/>
    </row>
    <row r="169">
      <c r="A169" s="3" t="n"/>
      <c r="B169" s="18" t="n"/>
      <c r="C169" s="4">
        <f>IF($B169="","",YEAR(B169)&amp;"-Q"&amp;ROUNDUP(MONTH(B169)/3,0))</f>
        <v/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19" t="n"/>
      <c r="T169" s="3" t="n"/>
      <c r="U169" s="3" t="n"/>
      <c r="V169" s="3" t="n"/>
      <c r="W169" s="3" t="n"/>
      <c r="X169" s="3" t="n"/>
    </row>
    <row r="170">
      <c r="A170" s="3" t="n"/>
      <c r="B170" s="18" t="n"/>
      <c r="C170" s="4">
        <f>IF($B170="","",YEAR(B170)&amp;"-Q"&amp;ROUNDUP(MONTH(B170)/3,0))</f>
        <v/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19" t="n"/>
      <c r="T170" s="3" t="n"/>
      <c r="U170" s="3" t="n"/>
      <c r="V170" s="3" t="n"/>
      <c r="W170" s="3" t="n"/>
      <c r="X170" s="3" t="n"/>
    </row>
    <row r="171">
      <c r="A171" s="3" t="n"/>
      <c r="B171" s="18" t="n"/>
      <c r="C171" s="4">
        <f>IF($B171="","",YEAR(B171)&amp;"-Q"&amp;ROUNDUP(MONTH(B171)/3,0))</f>
        <v/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19" t="n"/>
      <c r="T171" s="3" t="n"/>
      <c r="U171" s="3" t="n"/>
      <c r="V171" s="3" t="n"/>
      <c r="W171" s="3" t="n"/>
      <c r="X171" s="3" t="n"/>
    </row>
    <row r="172">
      <c r="A172" s="3" t="n"/>
      <c r="B172" s="18" t="n"/>
      <c r="C172" s="4">
        <f>IF($B172="","",YEAR(B172)&amp;"-Q"&amp;ROUNDUP(MONTH(B172)/3,0))</f>
        <v/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19" t="n"/>
      <c r="T172" s="3" t="n"/>
      <c r="U172" s="3" t="n"/>
      <c r="V172" s="3" t="n"/>
      <c r="W172" s="3" t="n"/>
      <c r="X172" s="3" t="n"/>
    </row>
    <row r="173">
      <c r="A173" s="3" t="n"/>
      <c r="B173" s="18" t="n"/>
      <c r="C173" s="4">
        <f>IF($B173="","",YEAR(B173)&amp;"-Q"&amp;ROUNDUP(MONTH(B173)/3,0))</f>
        <v/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19" t="n"/>
      <c r="T173" s="3" t="n"/>
      <c r="U173" s="3" t="n"/>
      <c r="V173" s="3" t="n"/>
      <c r="W173" s="3" t="n"/>
      <c r="X173" s="3" t="n"/>
    </row>
    <row r="174">
      <c r="A174" s="3" t="n"/>
      <c r="B174" s="18" t="n"/>
      <c r="C174" s="4">
        <f>IF($B174="","",YEAR(B174)&amp;"-Q"&amp;ROUNDUP(MONTH(B174)/3,0))</f>
        <v/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19" t="n"/>
      <c r="T174" s="3" t="n"/>
      <c r="U174" s="3" t="n"/>
      <c r="V174" s="3" t="n"/>
      <c r="W174" s="3" t="n"/>
      <c r="X174" s="3" t="n"/>
    </row>
    <row r="175">
      <c r="A175" s="3" t="n"/>
      <c r="B175" s="18" t="n"/>
      <c r="C175" s="4">
        <f>IF($B175="","",YEAR(B175)&amp;"-Q"&amp;ROUNDUP(MONTH(B175)/3,0))</f>
        <v/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19" t="n"/>
      <c r="T175" s="3" t="n"/>
      <c r="U175" s="3" t="n"/>
      <c r="V175" s="3" t="n"/>
      <c r="W175" s="3" t="n"/>
      <c r="X175" s="3" t="n"/>
    </row>
    <row r="176">
      <c r="A176" s="3" t="n"/>
      <c r="B176" s="18" t="n"/>
      <c r="C176" s="4">
        <f>IF($B176="","",YEAR(B176)&amp;"-Q"&amp;ROUNDUP(MONTH(B176)/3,0))</f>
        <v/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19" t="n"/>
      <c r="T176" s="3" t="n"/>
      <c r="U176" s="3" t="n"/>
      <c r="V176" s="3" t="n"/>
      <c r="W176" s="3" t="n"/>
      <c r="X176" s="3" t="n"/>
    </row>
    <row r="177">
      <c r="A177" s="3" t="n"/>
      <c r="B177" s="18" t="n"/>
      <c r="C177" s="4">
        <f>IF($B177="","",YEAR(B177)&amp;"-Q"&amp;ROUNDUP(MONTH(B177)/3,0))</f>
        <v/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19" t="n"/>
      <c r="T177" s="3" t="n"/>
      <c r="U177" s="3" t="n"/>
      <c r="V177" s="3" t="n"/>
      <c r="W177" s="3" t="n"/>
      <c r="X177" s="3" t="n"/>
    </row>
    <row r="178">
      <c r="A178" s="3" t="n"/>
      <c r="B178" s="18" t="n"/>
      <c r="C178" s="4">
        <f>IF($B178="","",YEAR(B178)&amp;"-Q"&amp;ROUNDUP(MONTH(B178)/3,0))</f>
        <v/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19" t="n"/>
      <c r="T178" s="3" t="n"/>
      <c r="U178" s="3" t="n"/>
      <c r="V178" s="3" t="n"/>
      <c r="W178" s="3" t="n"/>
      <c r="X178" s="3" t="n"/>
    </row>
    <row r="179">
      <c r="A179" s="3" t="n"/>
      <c r="B179" s="18" t="n"/>
      <c r="C179" s="4">
        <f>IF($B179="","",YEAR(B179)&amp;"-Q"&amp;ROUNDUP(MONTH(B179)/3,0))</f>
        <v/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19" t="n"/>
      <c r="T179" s="3" t="n"/>
      <c r="U179" s="3" t="n"/>
      <c r="V179" s="3" t="n"/>
      <c r="W179" s="3" t="n"/>
      <c r="X179" s="3" t="n"/>
    </row>
    <row r="180">
      <c r="A180" s="3" t="n"/>
      <c r="B180" s="18" t="n"/>
      <c r="C180" s="4">
        <f>IF($B180="","",YEAR(B180)&amp;"-Q"&amp;ROUNDUP(MONTH(B180)/3,0))</f>
        <v/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19" t="n"/>
      <c r="T180" s="3" t="n"/>
      <c r="U180" s="3" t="n"/>
      <c r="V180" s="3" t="n"/>
      <c r="W180" s="3" t="n"/>
      <c r="X180" s="3" t="n"/>
    </row>
    <row r="181">
      <c r="A181" s="3" t="n"/>
      <c r="B181" s="18" t="n"/>
      <c r="C181" s="4">
        <f>IF($B181="","",YEAR(B181)&amp;"-Q"&amp;ROUNDUP(MONTH(B181)/3,0))</f>
        <v/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19" t="n"/>
      <c r="T181" s="3" t="n"/>
      <c r="U181" s="3" t="n"/>
      <c r="V181" s="3" t="n"/>
      <c r="W181" s="3" t="n"/>
      <c r="X181" s="3" t="n"/>
    </row>
    <row r="182">
      <c r="A182" s="3" t="n"/>
      <c r="B182" s="18" t="n"/>
      <c r="C182" s="4">
        <f>IF($B182="","",YEAR(B182)&amp;"-Q"&amp;ROUNDUP(MONTH(B182)/3,0))</f>
        <v/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19" t="n"/>
      <c r="T182" s="3" t="n"/>
      <c r="U182" s="3" t="n"/>
      <c r="V182" s="3" t="n"/>
      <c r="W182" s="3" t="n"/>
      <c r="X182" s="3" t="n"/>
    </row>
    <row r="183">
      <c r="A183" s="3" t="n"/>
      <c r="B183" s="18" t="n"/>
      <c r="C183" s="4">
        <f>IF($B183="","",YEAR(B183)&amp;"-Q"&amp;ROUNDUP(MONTH(B183)/3,0))</f>
        <v/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19" t="n"/>
      <c r="T183" s="3" t="n"/>
      <c r="U183" s="3" t="n"/>
      <c r="V183" s="3" t="n"/>
      <c r="W183" s="3" t="n"/>
      <c r="X183" s="3" t="n"/>
    </row>
    <row r="184">
      <c r="A184" s="3" t="n"/>
      <c r="B184" s="18" t="n"/>
      <c r="C184" s="4">
        <f>IF($B184="","",YEAR(B184)&amp;"-Q"&amp;ROUNDUP(MONTH(B184)/3,0))</f>
        <v/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19" t="n"/>
      <c r="T184" s="3" t="n"/>
      <c r="U184" s="3" t="n"/>
      <c r="V184" s="3" t="n"/>
      <c r="W184" s="3" t="n"/>
      <c r="X184" s="3" t="n"/>
    </row>
    <row r="185">
      <c r="A185" s="3" t="n"/>
      <c r="B185" s="18" t="n"/>
      <c r="C185" s="4">
        <f>IF($B185="","",YEAR(B185)&amp;"-Q"&amp;ROUNDUP(MONTH(B185)/3,0))</f>
        <v/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19" t="n"/>
      <c r="T185" s="3" t="n"/>
      <c r="U185" s="3" t="n"/>
      <c r="V185" s="3" t="n"/>
      <c r="W185" s="3" t="n"/>
      <c r="X185" s="3" t="n"/>
    </row>
    <row r="186">
      <c r="A186" s="3" t="n"/>
      <c r="B186" s="18" t="n"/>
      <c r="C186" s="4">
        <f>IF($B186="","",YEAR(B186)&amp;"-Q"&amp;ROUNDUP(MONTH(B186)/3,0))</f>
        <v/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19" t="n"/>
      <c r="T186" s="3" t="n"/>
      <c r="U186" s="3" t="n"/>
      <c r="V186" s="3" t="n"/>
      <c r="W186" s="3" t="n"/>
      <c r="X186" s="3" t="n"/>
    </row>
    <row r="187">
      <c r="A187" s="3" t="n"/>
      <c r="B187" s="18" t="n"/>
      <c r="C187" s="4">
        <f>IF($B187="","",YEAR(B187)&amp;"-Q"&amp;ROUNDUP(MONTH(B187)/3,0))</f>
        <v/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19" t="n"/>
      <c r="T187" s="3" t="n"/>
      <c r="U187" s="3" t="n"/>
      <c r="V187" s="3" t="n"/>
      <c r="W187" s="3" t="n"/>
      <c r="X187" s="3" t="n"/>
    </row>
    <row r="188">
      <c r="A188" s="3" t="n"/>
      <c r="B188" s="18" t="n"/>
      <c r="C188" s="4">
        <f>IF($B188="","",YEAR(B188)&amp;"-Q"&amp;ROUNDUP(MONTH(B188)/3,0))</f>
        <v/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19" t="n"/>
      <c r="T188" s="3" t="n"/>
      <c r="U188" s="3" t="n"/>
      <c r="V188" s="3" t="n"/>
      <c r="W188" s="3" t="n"/>
      <c r="X188" s="3" t="n"/>
    </row>
    <row r="189">
      <c r="A189" s="3" t="n"/>
      <c r="B189" s="18" t="n"/>
      <c r="C189" s="4">
        <f>IF($B189="","",YEAR(B189)&amp;"-Q"&amp;ROUNDUP(MONTH(B189)/3,0))</f>
        <v/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19" t="n"/>
      <c r="T189" s="3" t="n"/>
      <c r="U189" s="3" t="n"/>
      <c r="V189" s="3" t="n"/>
      <c r="W189" s="3" t="n"/>
      <c r="X189" s="3" t="n"/>
    </row>
    <row r="190">
      <c r="A190" s="3" t="n"/>
      <c r="B190" s="18" t="n"/>
      <c r="C190" s="4">
        <f>IF($B190="","",YEAR(B190)&amp;"-Q"&amp;ROUNDUP(MONTH(B190)/3,0))</f>
        <v/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19" t="n"/>
      <c r="T190" s="3" t="n"/>
      <c r="U190" s="3" t="n"/>
      <c r="V190" s="3" t="n"/>
      <c r="W190" s="3" t="n"/>
      <c r="X190" s="3" t="n"/>
    </row>
    <row r="191">
      <c r="A191" s="3" t="n"/>
      <c r="B191" s="18" t="n"/>
      <c r="C191" s="4">
        <f>IF($B191="","",YEAR(B191)&amp;"-Q"&amp;ROUNDUP(MONTH(B191)/3,0))</f>
        <v/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19" t="n"/>
      <c r="T191" s="3" t="n"/>
      <c r="U191" s="3" t="n"/>
      <c r="V191" s="3" t="n"/>
      <c r="W191" s="3" t="n"/>
      <c r="X191" s="3" t="n"/>
    </row>
    <row r="192">
      <c r="A192" s="3" t="n"/>
      <c r="B192" s="18" t="n"/>
      <c r="C192" s="4">
        <f>IF($B192="","",YEAR(B192)&amp;"-Q"&amp;ROUNDUP(MONTH(B192)/3,0))</f>
        <v/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19" t="n"/>
      <c r="T192" s="3" t="n"/>
      <c r="U192" s="3" t="n"/>
      <c r="V192" s="3" t="n"/>
      <c r="W192" s="3" t="n"/>
      <c r="X192" s="3" t="n"/>
    </row>
    <row r="193">
      <c r="A193" s="3" t="n"/>
      <c r="B193" s="18" t="n"/>
      <c r="C193" s="4">
        <f>IF($B193="","",YEAR(B193)&amp;"-Q"&amp;ROUNDUP(MONTH(B193)/3,0))</f>
        <v/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19" t="n"/>
      <c r="T193" s="3" t="n"/>
      <c r="U193" s="3" t="n"/>
      <c r="V193" s="3" t="n"/>
      <c r="W193" s="3" t="n"/>
      <c r="X193" s="3" t="n"/>
    </row>
    <row r="194">
      <c r="A194" s="3" t="n"/>
      <c r="B194" s="18" t="n"/>
      <c r="C194" s="4">
        <f>IF($B194="","",YEAR(B194)&amp;"-Q"&amp;ROUNDUP(MONTH(B194)/3,0))</f>
        <v/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19" t="n"/>
      <c r="T194" s="3" t="n"/>
      <c r="U194" s="3" t="n"/>
      <c r="V194" s="3" t="n"/>
      <c r="W194" s="3" t="n"/>
      <c r="X194" s="3" t="n"/>
    </row>
    <row r="195">
      <c r="A195" s="3" t="n"/>
      <c r="B195" s="18" t="n"/>
      <c r="C195" s="4">
        <f>IF($B195="","",YEAR(B195)&amp;"-Q"&amp;ROUNDUP(MONTH(B195)/3,0))</f>
        <v/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19" t="n"/>
      <c r="T195" s="3" t="n"/>
      <c r="U195" s="3" t="n"/>
      <c r="V195" s="3" t="n"/>
      <c r="W195" s="3" t="n"/>
      <c r="X195" s="3" t="n"/>
    </row>
    <row r="196">
      <c r="A196" s="3" t="n"/>
      <c r="B196" s="18" t="n"/>
      <c r="C196" s="4">
        <f>IF($B196="","",YEAR(B196)&amp;"-Q"&amp;ROUNDUP(MONTH(B196)/3,0))</f>
        <v/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19" t="n"/>
      <c r="T196" s="3" t="n"/>
      <c r="U196" s="3" t="n"/>
      <c r="V196" s="3" t="n"/>
      <c r="W196" s="3" t="n"/>
      <c r="X196" s="3" t="n"/>
    </row>
    <row r="197">
      <c r="A197" s="3" t="n"/>
      <c r="B197" s="18" t="n"/>
      <c r="C197" s="4">
        <f>IF($B197="","",YEAR(B197)&amp;"-Q"&amp;ROUNDUP(MONTH(B197)/3,0))</f>
        <v/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19" t="n"/>
      <c r="T197" s="3" t="n"/>
      <c r="U197" s="3" t="n"/>
      <c r="V197" s="3" t="n"/>
      <c r="W197" s="3" t="n"/>
      <c r="X197" s="3" t="n"/>
    </row>
    <row r="198">
      <c r="A198" s="3" t="n"/>
      <c r="B198" s="18" t="n"/>
      <c r="C198" s="4">
        <f>IF($B198="","",YEAR(B198)&amp;"-Q"&amp;ROUNDUP(MONTH(B198)/3,0))</f>
        <v/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19" t="n"/>
      <c r="T198" s="3" t="n"/>
      <c r="U198" s="3" t="n"/>
      <c r="V198" s="3" t="n"/>
      <c r="W198" s="3" t="n"/>
      <c r="X198" s="3" t="n"/>
    </row>
    <row r="199">
      <c r="A199" s="3" t="n"/>
      <c r="B199" s="18" t="n"/>
      <c r="C199" s="4">
        <f>IF($B199="","",YEAR(B199)&amp;"-Q"&amp;ROUNDUP(MONTH(B199)/3,0))</f>
        <v/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19" t="n"/>
      <c r="T199" s="3" t="n"/>
      <c r="U199" s="3" t="n"/>
      <c r="V199" s="3" t="n"/>
      <c r="W199" s="3" t="n"/>
      <c r="X199" s="3" t="n"/>
    </row>
    <row r="200">
      <c r="A200" s="3" t="n"/>
      <c r="B200" s="18" t="n"/>
      <c r="C200" s="4">
        <f>IF($B200="","",YEAR(B200)&amp;"-Q"&amp;ROUNDUP(MONTH(B200)/3,0))</f>
        <v/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19" t="n"/>
      <c r="T200" s="3" t="n"/>
      <c r="U200" s="3" t="n"/>
      <c r="V200" s="3" t="n"/>
      <c r="W200" s="3" t="n"/>
      <c r="X200" s="3" t="n"/>
    </row>
    <row r="201">
      <c r="A201" s="3" t="n"/>
      <c r="B201" s="18" t="n"/>
      <c r="C201" s="4">
        <f>IF($B201="","",YEAR(B201)&amp;"-Q"&amp;ROUNDUP(MONTH(B201)/3,0))</f>
        <v/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19" t="n"/>
      <c r="T201" s="3" t="n"/>
      <c r="U201" s="3" t="n"/>
      <c r="V201" s="3" t="n"/>
      <c r="W201" s="3" t="n"/>
      <c r="X201" s="3" t="n"/>
    </row>
    <row r="202">
      <c r="A202" s="3" t="n"/>
      <c r="B202" s="18" t="n"/>
      <c r="C202" s="4">
        <f>IF($B202="","",YEAR(B202)&amp;"-Q"&amp;ROUNDUP(MONTH(B202)/3,0))</f>
        <v/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19" t="n"/>
      <c r="T202" s="3" t="n"/>
      <c r="U202" s="3" t="n"/>
      <c r="V202" s="3" t="n"/>
      <c r="W202" s="3" t="n"/>
      <c r="X202" s="3" t="n"/>
    </row>
    <row r="203">
      <c r="A203" s="3" t="n"/>
      <c r="B203" s="18" t="n"/>
      <c r="C203" s="4">
        <f>IF($B203="","",YEAR(B203)&amp;"-Q"&amp;ROUNDUP(MONTH(B203)/3,0))</f>
        <v/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19" t="n"/>
      <c r="T203" s="3" t="n"/>
      <c r="U203" s="3" t="n"/>
      <c r="V203" s="3" t="n"/>
      <c r="W203" s="3" t="n"/>
      <c r="X203" s="3" t="n"/>
    </row>
  </sheetData>
  <mergeCells count="5">
    <mergeCell ref="D2:I2"/>
    <mergeCell ref="U2:X2"/>
    <mergeCell ref="Q2:T2"/>
    <mergeCell ref="J2:P2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3"/>
  <sheetViews>
    <sheetView tabSelected="1" zoomScaleNormal="100" workbookViewId="0">
      <pane xSplit="2" ySplit="3" topLeftCell="C4" activePane="bottomRight" state="frozen"/>
      <selection pane="bottomRight" activeCell="A1" sqref="A1"/>
      <selection pane="bottomLeft" activeCell="A4" sqref="A4"/>
      <selection pane="topRight" activeCell="C1" sqref="C1"/>
    </sheetView>
  </sheetViews>
  <sheetFormatPr baseColWidth="8" defaultColWidth="8.7109375" defaultRowHeight="15"/>
  <cols>
    <col width="10" customWidth="1" min="1" max="1"/>
    <col width="9" customWidth="1" min="2" max="2"/>
    <col width="12" customWidth="1" min="3" max="27"/>
    <col width="20" customWidth="1" min="28" max="33"/>
    <col width="13" customWidth="1" min="34" max="34"/>
  </cols>
  <sheetData>
    <row r="1">
      <c r="A1" s="15" t="inlineStr">
        <is>
          <t>QUARTERLY SCORING — tick JUDGMENT flags only (orange cells). 'Measured' flags are derived.</t>
        </is>
      </c>
    </row>
    <row r="2" ht="15" customHeight="1">
      <c r="A2" s="41" t="inlineStr">
        <is>
          <t>KEY</t>
        </is>
      </c>
      <c r="B2" s="49" t="n"/>
      <c r="C2" s="42" t="inlineStr">
        <is>
          <t>E. GOVERNANCE — 8-item checklist</t>
        </is>
      </c>
      <c r="D2" s="49" t="n"/>
      <c r="E2" s="49" t="n"/>
      <c r="F2" s="49" t="n"/>
      <c r="G2" s="49" t="n"/>
      <c r="H2" s="49" t="n"/>
      <c r="I2" s="49" t="n"/>
      <c r="J2" s="49" t="n"/>
      <c r="K2" s="39" t="inlineStr">
        <is>
          <t>A</t>
        </is>
      </c>
      <c r="L2" s="49" t="n"/>
      <c r="M2" s="39" t="inlineStr">
        <is>
          <t>B. DELIVERY</t>
        </is>
      </c>
      <c r="N2" s="49" t="n"/>
      <c r="O2" s="49" t="n"/>
      <c r="P2" s="49" t="n"/>
      <c r="Q2" s="49" t="n"/>
      <c r="R2" s="39" t="inlineStr">
        <is>
          <t>C. QUALITY</t>
        </is>
      </c>
      <c r="S2" s="49" t="n"/>
      <c r="T2" s="49" t="n"/>
      <c r="U2" s="49" t="n"/>
      <c r="V2" s="49" t="n"/>
      <c r="W2" s="49" t="n"/>
      <c r="X2" s="49" t="n"/>
      <c r="Y2" s="39" t="inlineStr">
        <is>
          <t>D. AGENT</t>
        </is>
      </c>
      <c r="Z2" s="49" t="n"/>
      <c r="AA2" s="49" t="n"/>
      <c r="AB2" s="40" t="inlineStr">
        <is>
          <t>EVIDENCE / ACTION</t>
        </is>
      </c>
      <c r="AC2" s="49" t="n"/>
      <c r="AD2" s="49" t="n"/>
      <c r="AE2" s="49" t="n"/>
      <c r="AF2" s="49" t="n"/>
      <c r="AG2" s="49" t="n"/>
    </row>
    <row r="3" ht="32.85" customHeight="1">
      <c r="A3" s="8" t="inlineStr">
        <is>
          <t>ProjectID</t>
        </is>
      </c>
      <c r="B3" s="8" t="inlineStr">
        <is>
          <t>Quarter</t>
        </is>
      </c>
      <c r="C3" s="8" t="inlineStr">
        <is>
          <t>G1 AGENTS.md</t>
        </is>
      </c>
      <c r="D3" s="8" t="inlineStr">
        <is>
          <t>G2 AI policy</t>
        </is>
      </c>
      <c r="E3" s="8" t="inlineStr">
        <is>
          <t>G3 Required review</t>
        </is>
      </c>
      <c r="F3" s="8" t="inlineStr">
        <is>
          <t>G4 Eval suite</t>
        </is>
      </c>
      <c r="G3" s="8" t="inlineStr">
        <is>
          <t>G5 Shared library</t>
        </is>
      </c>
      <c r="H3" s="8" t="inlineStr">
        <is>
          <t>G6 Security controls</t>
        </is>
      </c>
      <c r="I3" s="8" t="inlineStr">
        <is>
          <t>G7 Traceability+logs</t>
        </is>
      </c>
      <c r="J3" s="8" t="inlineStr">
        <is>
          <t>G8 Model governance</t>
        </is>
      </c>
      <c r="K3" s="8" t="inlineStr">
        <is>
          <t>a2 dashboard</t>
        </is>
      </c>
      <c r="L3" s="8" t="inlineStr">
        <is>
          <t>a4 near-universal</t>
        </is>
      </c>
      <c r="M3" s="8" t="inlineStr">
        <is>
          <t>b4 DORA improving</t>
        </is>
      </c>
      <c r="N3" s="8" t="inlineStr">
        <is>
          <t>b5 cost target, many workflows</t>
        </is>
      </c>
      <c r="O3" s="8" t="inlineStr">
        <is>
          <t>b6 business outcomes</t>
        </is>
      </c>
      <c r="P3" s="8" t="inlineStr">
        <is>
          <t>b7 top-quartile</t>
        </is>
      </c>
      <c r="Q3" s="8" t="inlineStr">
        <is>
          <t>b8 client reporting</t>
        </is>
      </c>
      <c r="R3" s="8" t="inlineStr">
        <is>
          <t>c3 basic CI scanning</t>
        </is>
      </c>
      <c r="S3" s="8" t="inlineStr">
        <is>
          <t>c4 AI vs non-AI compared</t>
        </is>
      </c>
      <c r="T3" s="8" t="inlineStr">
        <is>
          <t>c5 evals exist</t>
        </is>
      </c>
      <c r="U3" s="8" t="inlineStr">
        <is>
          <t>c6 SAST/PII required</t>
        </is>
      </c>
      <c r="V3" s="8" t="inlineStr">
        <is>
          <t>c7 defects ~0</t>
        </is>
      </c>
      <c r="W3" s="8" t="inlineStr">
        <is>
          <t>c8 evals in CI</t>
        </is>
      </c>
      <c r="X3" s="8" t="inlineStr">
        <is>
          <t>c9 prompt-leak/PII</t>
        </is>
      </c>
      <c r="Y3" s="8" t="inlineStr">
        <is>
          <t>d3 defined task class</t>
        </is>
      </c>
      <c r="Z3" s="8" t="inlineStr">
        <is>
          <t>d4 cycle time measured</t>
        </is>
      </c>
      <c r="AA3" s="8" t="inlineStr">
        <is>
          <t>d5 multi-agent</t>
        </is>
      </c>
      <c r="AB3" s="8" t="inlineStr">
        <is>
          <t>Evidence A</t>
        </is>
      </c>
      <c r="AC3" s="8" t="inlineStr">
        <is>
          <t>Evidence B</t>
        </is>
      </c>
      <c r="AD3" s="8" t="inlineStr">
        <is>
          <t>Evidence C</t>
        </is>
      </c>
      <c r="AE3" s="8" t="inlineStr">
        <is>
          <t>Evidence D</t>
        </is>
      </c>
      <c r="AF3" s="8" t="inlineStr">
        <is>
          <t>Evidence E</t>
        </is>
      </c>
      <c r="AG3" s="8" t="inlineStr">
        <is>
          <t>Improvement action</t>
        </is>
      </c>
    </row>
    <row r="4" ht="32.85" customHeight="1">
      <c r="A4" s="3" t="n"/>
      <c r="B4" s="3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22" t="n"/>
      <c r="AC4" s="22" t="n"/>
      <c r="AD4" s="22" t="n"/>
      <c r="AE4" s="22" t="n"/>
      <c r="AF4" s="22" t="n"/>
      <c r="AG4" s="22" t="n"/>
      <c r="AH4" s="23">
        <f>IF($A4="","",$A4&amp;"|"&amp;$B4)</f>
        <v/>
      </c>
    </row>
    <row r="5" ht="43.35" customHeight="1">
      <c r="A5" s="3" t="n"/>
      <c r="B5" s="3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22" t="n"/>
      <c r="AC5" s="22" t="n"/>
      <c r="AD5" s="22" t="n"/>
      <c r="AE5" s="22" t="n"/>
      <c r="AF5" s="22" t="n"/>
      <c r="AG5" s="22" t="n"/>
      <c r="AH5" s="23">
        <f>IF($A5="","",$A5&amp;"|"&amp;$B5)</f>
        <v/>
      </c>
    </row>
    <row r="6" ht="32.85" customHeight="1">
      <c r="A6" s="3" t="n"/>
      <c r="B6" s="3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22" t="n"/>
      <c r="AC6" s="22" t="n"/>
      <c r="AD6" s="22" t="n"/>
      <c r="AE6" s="22" t="n"/>
      <c r="AF6" s="22" t="n"/>
      <c r="AG6" s="22" t="n"/>
      <c r="AH6" s="23">
        <f>IF($A6="","",$A6&amp;"|"&amp;$B6)</f>
        <v/>
      </c>
    </row>
    <row r="7">
      <c r="A7" s="3" t="n"/>
      <c r="B7" s="3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22" t="n"/>
      <c r="AC7" s="22" t="n"/>
      <c r="AD7" s="22" t="n"/>
      <c r="AE7" s="22" t="n"/>
      <c r="AF7" s="22" t="n"/>
      <c r="AG7" s="22" t="n"/>
      <c r="AH7" s="23">
        <f>IF($A7="","",$A7&amp;"|"&amp;$B7)</f>
        <v/>
      </c>
    </row>
    <row r="8">
      <c r="A8" s="3" t="n"/>
      <c r="B8" s="3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22" t="n"/>
      <c r="AC8" s="22" t="n"/>
      <c r="AD8" s="22" t="n"/>
      <c r="AE8" s="22" t="n"/>
      <c r="AF8" s="22" t="n"/>
      <c r="AG8" s="22" t="n"/>
      <c r="AH8" s="23">
        <f>IF($A8="","",$A8&amp;"|"&amp;$B8)</f>
        <v/>
      </c>
    </row>
    <row r="9">
      <c r="A9" s="3" t="n"/>
      <c r="B9" s="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22" t="n"/>
      <c r="AC9" s="22" t="n"/>
      <c r="AD9" s="22" t="n"/>
      <c r="AE9" s="22" t="n"/>
      <c r="AF9" s="22" t="n"/>
      <c r="AG9" s="22" t="n"/>
      <c r="AH9" s="23">
        <f>IF($A9="","",$A9&amp;"|"&amp;$B9)</f>
        <v/>
      </c>
    </row>
    <row r="10">
      <c r="A10" s="3" t="n"/>
      <c r="B10" s="3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22" t="n"/>
      <c r="AC10" s="22" t="n"/>
      <c r="AD10" s="22" t="n"/>
      <c r="AE10" s="22" t="n"/>
      <c r="AF10" s="22" t="n"/>
      <c r="AG10" s="22" t="n"/>
      <c r="AH10" s="23">
        <f>IF($A10="","",$A10&amp;"|"&amp;$B10)</f>
        <v/>
      </c>
    </row>
    <row r="11">
      <c r="A11" s="3" t="n"/>
      <c r="B11" s="3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22" t="n"/>
      <c r="AC11" s="22" t="n"/>
      <c r="AD11" s="22" t="n"/>
      <c r="AE11" s="22" t="n"/>
      <c r="AF11" s="22" t="n"/>
      <c r="AG11" s="22" t="n"/>
      <c r="AH11" s="23">
        <f>IF($A11="","",$A11&amp;"|"&amp;$B11)</f>
        <v/>
      </c>
    </row>
    <row r="12">
      <c r="A12" s="3" t="n"/>
      <c r="B12" s="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22" t="n"/>
      <c r="AC12" s="22" t="n"/>
      <c r="AD12" s="22" t="n"/>
      <c r="AE12" s="22" t="n"/>
      <c r="AF12" s="22" t="n"/>
      <c r="AG12" s="22" t="n"/>
      <c r="AH12" s="23">
        <f>IF($A12="","",$A12&amp;"|"&amp;$B12)</f>
        <v/>
      </c>
    </row>
    <row r="13">
      <c r="A13" s="3" t="n"/>
      <c r="B13" s="3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22" t="n"/>
      <c r="AC13" s="22" t="n"/>
      <c r="AD13" s="22" t="n"/>
      <c r="AE13" s="22" t="n"/>
      <c r="AF13" s="22" t="n"/>
      <c r="AG13" s="22" t="n"/>
      <c r="AH13" s="23">
        <f>IF($A13="","",$A13&amp;"|"&amp;$B13)</f>
        <v/>
      </c>
    </row>
    <row r="14">
      <c r="A14" s="3" t="n"/>
      <c r="B14" s="3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22" t="n"/>
      <c r="AC14" s="22" t="n"/>
      <c r="AD14" s="22" t="n"/>
      <c r="AE14" s="22" t="n"/>
      <c r="AF14" s="22" t="n"/>
      <c r="AG14" s="22" t="n"/>
      <c r="AH14" s="23">
        <f>IF($A14="","",$A14&amp;"|"&amp;$B14)</f>
        <v/>
      </c>
    </row>
    <row r="15">
      <c r="A15" s="3" t="n"/>
      <c r="B15" s="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22" t="n"/>
      <c r="AC15" s="22" t="n"/>
      <c r="AD15" s="22" t="n"/>
      <c r="AE15" s="22" t="n"/>
      <c r="AF15" s="22" t="n"/>
      <c r="AG15" s="22" t="n"/>
      <c r="AH15" s="23">
        <f>IF($A15="","",$A15&amp;"|"&amp;$B15)</f>
        <v/>
      </c>
    </row>
    <row r="16">
      <c r="A16" s="3" t="n"/>
      <c r="B16" s="3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22" t="n"/>
      <c r="AC16" s="22" t="n"/>
      <c r="AD16" s="22" t="n"/>
      <c r="AE16" s="22" t="n"/>
      <c r="AF16" s="22" t="n"/>
      <c r="AG16" s="22" t="n"/>
      <c r="AH16" s="23">
        <f>IF($A16="","",$A16&amp;"|"&amp;$B16)</f>
        <v/>
      </c>
    </row>
    <row r="17">
      <c r="A17" s="3" t="n"/>
      <c r="B17" s="3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22" t="n"/>
      <c r="AC17" s="22" t="n"/>
      <c r="AD17" s="22" t="n"/>
      <c r="AE17" s="22" t="n"/>
      <c r="AF17" s="22" t="n"/>
      <c r="AG17" s="22" t="n"/>
      <c r="AH17" s="23">
        <f>IF($A17="","",$A17&amp;"|"&amp;$B17)</f>
        <v/>
      </c>
    </row>
    <row r="18">
      <c r="A18" s="3" t="n"/>
      <c r="B18" s="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22" t="n"/>
      <c r="AC18" s="22" t="n"/>
      <c r="AD18" s="22" t="n"/>
      <c r="AE18" s="22" t="n"/>
      <c r="AF18" s="22" t="n"/>
      <c r="AG18" s="22" t="n"/>
      <c r="AH18" s="23">
        <f>IF($A18="","",$A18&amp;"|"&amp;$B18)</f>
        <v/>
      </c>
    </row>
    <row r="19">
      <c r="A19" s="3" t="n"/>
      <c r="B19" s="3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22" t="n"/>
      <c r="AC19" s="22" t="n"/>
      <c r="AD19" s="22" t="n"/>
      <c r="AE19" s="22" t="n"/>
      <c r="AF19" s="22" t="n"/>
      <c r="AG19" s="22" t="n"/>
      <c r="AH19" s="23">
        <f>IF($A19="","",$A19&amp;"|"&amp;$B19)</f>
        <v/>
      </c>
    </row>
    <row r="20">
      <c r="A20" s="3" t="n"/>
      <c r="B20" s="3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22" t="n"/>
      <c r="AC20" s="22" t="n"/>
      <c r="AD20" s="22" t="n"/>
      <c r="AE20" s="22" t="n"/>
      <c r="AF20" s="22" t="n"/>
      <c r="AG20" s="22" t="n"/>
      <c r="AH20" s="23">
        <f>IF($A20="","",$A20&amp;"|"&amp;$B20)</f>
        <v/>
      </c>
    </row>
    <row r="21">
      <c r="A21" s="3" t="n"/>
      <c r="B21" s="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22" t="n"/>
      <c r="AC21" s="22" t="n"/>
      <c r="AD21" s="22" t="n"/>
      <c r="AE21" s="22" t="n"/>
      <c r="AF21" s="22" t="n"/>
      <c r="AG21" s="22" t="n"/>
      <c r="AH21" s="23">
        <f>IF($A21="","",$A21&amp;"|"&amp;$B21)</f>
        <v/>
      </c>
    </row>
    <row r="22">
      <c r="A22" s="3" t="n"/>
      <c r="B22" s="3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22" t="n"/>
      <c r="AC22" s="22" t="n"/>
      <c r="AD22" s="22" t="n"/>
      <c r="AE22" s="22" t="n"/>
      <c r="AF22" s="22" t="n"/>
      <c r="AG22" s="22" t="n"/>
      <c r="AH22" s="23">
        <f>IF($A22="","",$A22&amp;"|"&amp;$B22)</f>
        <v/>
      </c>
    </row>
    <row r="23">
      <c r="A23" s="3" t="n"/>
      <c r="B23" s="3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22" t="n"/>
      <c r="AC23" s="22" t="n"/>
      <c r="AD23" s="22" t="n"/>
      <c r="AE23" s="22" t="n"/>
      <c r="AF23" s="22" t="n"/>
      <c r="AG23" s="22" t="n"/>
      <c r="AH23" s="23">
        <f>IF($A23="","",$A23&amp;"|"&amp;$B23)</f>
        <v/>
      </c>
    </row>
    <row r="24">
      <c r="A24" s="3" t="n"/>
      <c r="B24" s="3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22" t="n"/>
      <c r="AC24" s="22" t="n"/>
      <c r="AD24" s="22" t="n"/>
      <c r="AE24" s="22" t="n"/>
      <c r="AF24" s="22" t="n"/>
      <c r="AG24" s="22" t="n"/>
      <c r="AH24" s="23">
        <f>IF($A24="","",$A24&amp;"|"&amp;$B24)</f>
        <v/>
      </c>
    </row>
    <row r="25">
      <c r="A25" s="3" t="n"/>
      <c r="B25" s="3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22" t="n"/>
      <c r="AC25" s="22" t="n"/>
      <c r="AD25" s="22" t="n"/>
      <c r="AE25" s="22" t="n"/>
      <c r="AF25" s="22" t="n"/>
      <c r="AG25" s="22" t="n"/>
      <c r="AH25" s="23">
        <f>IF($A25="","",$A25&amp;"|"&amp;$B25)</f>
        <v/>
      </c>
    </row>
    <row r="26">
      <c r="A26" s="3" t="n"/>
      <c r="B26" s="3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22" t="n"/>
      <c r="AC26" s="22" t="n"/>
      <c r="AD26" s="22" t="n"/>
      <c r="AE26" s="22" t="n"/>
      <c r="AF26" s="22" t="n"/>
      <c r="AG26" s="22" t="n"/>
      <c r="AH26" s="23">
        <f>IF($A26="","",$A26&amp;"|"&amp;$B26)</f>
        <v/>
      </c>
    </row>
    <row r="27">
      <c r="A27" s="3" t="n"/>
      <c r="B27" s="3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22" t="n"/>
      <c r="AC27" s="22" t="n"/>
      <c r="AD27" s="22" t="n"/>
      <c r="AE27" s="22" t="n"/>
      <c r="AF27" s="22" t="n"/>
      <c r="AG27" s="22" t="n"/>
      <c r="AH27" s="23">
        <f>IF($A27="","",$A27&amp;"|"&amp;$B27)</f>
        <v/>
      </c>
    </row>
    <row r="28">
      <c r="A28" s="3" t="n"/>
      <c r="B28" s="3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22" t="n"/>
      <c r="AC28" s="22" t="n"/>
      <c r="AD28" s="22" t="n"/>
      <c r="AE28" s="22" t="n"/>
      <c r="AF28" s="22" t="n"/>
      <c r="AG28" s="22" t="n"/>
      <c r="AH28" s="23">
        <f>IF($A28="","",$A28&amp;"|"&amp;$B28)</f>
        <v/>
      </c>
    </row>
    <row r="29">
      <c r="A29" s="3" t="n"/>
      <c r="B29" s="3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22" t="n"/>
      <c r="AC29" s="22" t="n"/>
      <c r="AD29" s="22" t="n"/>
      <c r="AE29" s="22" t="n"/>
      <c r="AF29" s="22" t="n"/>
      <c r="AG29" s="22" t="n"/>
      <c r="AH29" s="23">
        <f>IF($A29="","",$A29&amp;"|"&amp;$B29)</f>
        <v/>
      </c>
    </row>
    <row r="30">
      <c r="A30" s="3" t="n"/>
      <c r="B30" s="3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22" t="n"/>
      <c r="AC30" s="22" t="n"/>
      <c r="AD30" s="22" t="n"/>
      <c r="AE30" s="22" t="n"/>
      <c r="AF30" s="22" t="n"/>
      <c r="AG30" s="22" t="n"/>
      <c r="AH30" s="23">
        <f>IF($A30="","",$A30&amp;"|"&amp;$B30)</f>
        <v/>
      </c>
    </row>
    <row r="31">
      <c r="A31" s="3" t="n"/>
      <c r="B31" s="3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22" t="n"/>
      <c r="AC31" s="22" t="n"/>
      <c r="AD31" s="22" t="n"/>
      <c r="AE31" s="22" t="n"/>
      <c r="AF31" s="22" t="n"/>
      <c r="AG31" s="22" t="n"/>
      <c r="AH31" s="23">
        <f>IF($A31="","",$A31&amp;"|"&amp;$B31)</f>
        <v/>
      </c>
    </row>
    <row r="32">
      <c r="A32" s="3" t="n"/>
      <c r="B32" s="3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22" t="n"/>
      <c r="AC32" s="22" t="n"/>
      <c r="AD32" s="22" t="n"/>
      <c r="AE32" s="22" t="n"/>
      <c r="AF32" s="22" t="n"/>
      <c r="AG32" s="22" t="n"/>
      <c r="AH32" s="23">
        <f>IF($A32="","",$A32&amp;"|"&amp;$B32)</f>
        <v/>
      </c>
    </row>
    <row r="33">
      <c r="A33" s="3" t="n"/>
      <c r="B33" s="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22" t="n"/>
      <c r="AC33" s="22" t="n"/>
      <c r="AD33" s="22" t="n"/>
      <c r="AE33" s="22" t="n"/>
      <c r="AF33" s="22" t="n"/>
      <c r="AG33" s="22" t="n"/>
      <c r="AH33" s="23">
        <f>IF($A33="","",$A33&amp;"|"&amp;$B33)</f>
        <v/>
      </c>
    </row>
    <row r="34">
      <c r="A34" s="3" t="n"/>
      <c r="B34" s="3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22" t="n"/>
      <c r="AC34" s="22" t="n"/>
      <c r="AD34" s="22" t="n"/>
      <c r="AE34" s="22" t="n"/>
      <c r="AF34" s="22" t="n"/>
      <c r="AG34" s="22" t="n"/>
      <c r="AH34" s="23">
        <f>IF($A34="","",$A34&amp;"|"&amp;$B34)</f>
        <v/>
      </c>
    </row>
    <row r="35">
      <c r="A35" s="3" t="n"/>
      <c r="B35" s="3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22" t="n"/>
      <c r="AC35" s="22" t="n"/>
      <c r="AD35" s="22" t="n"/>
      <c r="AE35" s="22" t="n"/>
      <c r="AF35" s="22" t="n"/>
      <c r="AG35" s="22" t="n"/>
      <c r="AH35" s="23">
        <f>IF($A35="","",$A35&amp;"|"&amp;$B35)</f>
        <v/>
      </c>
    </row>
    <row r="36">
      <c r="A36" s="3" t="n"/>
      <c r="B36" s="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22" t="n"/>
      <c r="AC36" s="22" t="n"/>
      <c r="AD36" s="22" t="n"/>
      <c r="AE36" s="22" t="n"/>
      <c r="AF36" s="22" t="n"/>
      <c r="AG36" s="22" t="n"/>
      <c r="AH36" s="23">
        <f>IF($A36="","",$A36&amp;"|"&amp;$B36)</f>
        <v/>
      </c>
    </row>
    <row r="37">
      <c r="A37" s="3" t="n"/>
      <c r="B37" s="3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22" t="n"/>
      <c r="AC37" s="22" t="n"/>
      <c r="AD37" s="22" t="n"/>
      <c r="AE37" s="22" t="n"/>
      <c r="AF37" s="22" t="n"/>
      <c r="AG37" s="22" t="n"/>
      <c r="AH37" s="23">
        <f>IF($A37="","",$A37&amp;"|"&amp;$B37)</f>
        <v/>
      </c>
    </row>
    <row r="38">
      <c r="A38" s="3" t="n"/>
      <c r="B38" s="3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22" t="n"/>
      <c r="AC38" s="22" t="n"/>
      <c r="AD38" s="22" t="n"/>
      <c r="AE38" s="22" t="n"/>
      <c r="AF38" s="22" t="n"/>
      <c r="AG38" s="22" t="n"/>
      <c r="AH38" s="23">
        <f>IF($A38="","",$A38&amp;"|"&amp;$B38)</f>
        <v/>
      </c>
    </row>
    <row r="39">
      <c r="A39" s="3" t="n"/>
      <c r="B39" s="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22" t="n"/>
      <c r="AC39" s="22" t="n"/>
      <c r="AD39" s="22" t="n"/>
      <c r="AE39" s="22" t="n"/>
      <c r="AF39" s="22" t="n"/>
      <c r="AG39" s="22" t="n"/>
      <c r="AH39" s="23">
        <f>IF($A39="","",$A39&amp;"|"&amp;$B39)</f>
        <v/>
      </c>
    </row>
    <row r="40">
      <c r="A40" s="3" t="n"/>
      <c r="B40" s="3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22" t="n"/>
      <c r="AC40" s="22" t="n"/>
      <c r="AD40" s="22" t="n"/>
      <c r="AE40" s="22" t="n"/>
      <c r="AF40" s="22" t="n"/>
      <c r="AG40" s="22" t="n"/>
      <c r="AH40" s="23">
        <f>IF($A40="","",$A40&amp;"|"&amp;$B40)</f>
        <v/>
      </c>
    </row>
    <row r="41">
      <c r="A41" s="3" t="n"/>
      <c r="B41" s="3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22" t="n"/>
      <c r="AC41" s="22" t="n"/>
      <c r="AD41" s="22" t="n"/>
      <c r="AE41" s="22" t="n"/>
      <c r="AF41" s="22" t="n"/>
      <c r="AG41" s="22" t="n"/>
      <c r="AH41" s="23">
        <f>IF($A41="","",$A41&amp;"|"&amp;$B41)</f>
        <v/>
      </c>
    </row>
    <row r="42">
      <c r="A42" s="3" t="n"/>
      <c r="B42" s="3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22" t="n"/>
      <c r="AC42" s="22" t="n"/>
      <c r="AD42" s="22" t="n"/>
      <c r="AE42" s="22" t="n"/>
      <c r="AF42" s="22" t="n"/>
      <c r="AG42" s="22" t="n"/>
      <c r="AH42" s="23">
        <f>IF($A42="","",$A42&amp;"|"&amp;$B42)</f>
        <v/>
      </c>
    </row>
    <row r="43">
      <c r="A43" s="3" t="n"/>
      <c r="B43" s="3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22" t="n"/>
      <c r="AC43" s="22" t="n"/>
      <c r="AD43" s="22" t="n"/>
      <c r="AE43" s="22" t="n"/>
      <c r="AF43" s="22" t="n"/>
      <c r="AG43" s="22" t="n"/>
      <c r="AH43" s="23">
        <f>IF($A43="","",$A43&amp;"|"&amp;$B43)</f>
        <v/>
      </c>
    </row>
    <row r="44">
      <c r="A44" s="3" t="n"/>
      <c r="B44" s="3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22" t="n"/>
      <c r="AC44" s="22" t="n"/>
      <c r="AD44" s="22" t="n"/>
      <c r="AE44" s="22" t="n"/>
      <c r="AF44" s="22" t="n"/>
      <c r="AG44" s="22" t="n"/>
      <c r="AH44" s="23">
        <f>IF($A44="","",$A44&amp;"|"&amp;$B44)</f>
        <v/>
      </c>
    </row>
    <row r="45">
      <c r="A45" s="3" t="n"/>
      <c r="B45" s="3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22" t="n"/>
      <c r="AC45" s="22" t="n"/>
      <c r="AD45" s="22" t="n"/>
      <c r="AE45" s="22" t="n"/>
      <c r="AF45" s="22" t="n"/>
      <c r="AG45" s="22" t="n"/>
      <c r="AH45" s="23">
        <f>IF($A45="","",$A45&amp;"|"&amp;$B45)</f>
        <v/>
      </c>
    </row>
    <row r="46">
      <c r="A46" s="3" t="n"/>
      <c r="B46" s="3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22" t="n"/>
      <c r="AC46" s="22" t="n"/>
      <c r="AD46" s="22" t="n"/>
      <c r="AE46" s="22" t="n"/>
      <c r="AF46" s="22" t="n"/>
      <c r="AG46" s="22" t="n"/>
      <c r="AH46" s="23">
        <f>IF($A46="","",$A46&amp;"|"&amp;$B46)</f>
        <v/>
      </c>
    </row>
    <row r="47">
      <c r="A47" s="3" t="n"/>
      <c r="B47" s="3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22" t="n"/>
      <c r="AC47" s="22" t="n"/>
      <c r="AD47" s="22" t="n"/>
      <c r="AE47" s="22" t="n"/>
      <c r="AF47" s="22" t="n"/>
      <c r="AG47" s="22" t="n"/>
      <c r="AH47" s="23">
        <f>IF($A47="","",$A47&amp;"|"&amp;$B47)</f>
        <v/>
      </c>
    </row>
    <row r="48">
      <c r="A48" s="3" t="n"/>
      <c r="B48" s="3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22" t="n"/>
      <c r="AC48" s="22" t="n"/>
      <c r="AD48" s="22" t="n"/>
      <c r="AE48" s="22" t="n"/>
      <c r="AF48" s="22" t="n"/>
      <c r="AG48" s="22" t="n"/>
      <c r="AH48" s="23">
        <f>IF($A48="","",$A48&amp;"|"&amp;$B48)</f>
        <v/>
      </c>
    </row>
    <row r="49">
      <c r="A49" s="3" t="n"/>
      <c r="B49" s="3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22" t="n"/>
      <c r="AC49" s="22" t="n"/>
      <c r="AD49" s="22" t="n"/>
      <c r="AE49" s="22" t="n"/>
      <c r="AF49" s="22" t="n"/>
      <c r="AG49" s="22" t="n"/>
      <c r="AH49" s="23">
        <f>IF($A49="","",$A49&amp;"|"&amp;$B49)</f>
        <v/>
      </c>
    </row>
    <row r="50">
      <c r="A50" s="3" t="n"/>
      <c r="B50" s="3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22" t="n"/>
      <c r="AC50" s="22" t="n"/>
      <c r="AD50" s="22" t="n"/>
      <c r="AE50" s="22" t="n"/>
      <c r="AF50" s="22" t="n"/>
      <c r="AG50" s="22" t="n"/>
      <c r="AH50" s="23">
        <f>IF($A50="","",$A50&amp;"|"&amp;$B50)</f>
        <v/>
      </c>
    </row>
    <row r="51">
      <c r="A51" s="3" t="n"/>
      <c r="B51" s="3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22" t="n"/>
      <c r="AC51" s="22" t="n"/>
      <c r="AD51" s="22" t="n"/>
      <c r="AE51" s="22" t="n"/>
      <c r="AF51" s="22" t="n"/>
      <c r="AG51" s="22" t="n"/>
      <c r="AH51" s="23">
        <f>IF($A51="","",$A51&amp;"|"&amp;$B51)</f>
        <v/>
      </c>
    </row>
    <row r="52">
      <c r="A52" s="3" t="n"/>
      <c r="B52" s="3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22" t="n"/>
      <c r="AC52" s="22" t="n"/>
      <c r="AD52" s="22" t="n"/>
      <c r="AE52" s="22" t="n"/>
      <c r="AF52" s="22" t="n"/>
      <c r="AG52" s="22" t="n"/>
      <c r="AH52" s="23">
        <f>IF($A52="","",$A52&amp;"|"&amp;$B52)</f>
        <v/>
      </c>
    </row>
    <row r="53">
      <c r="A53" s="3" t="n"/>
      <c r="B53" s="3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22" t="n"/>
      <c r="AC53" s="22" t="n"/>
      <c r="AD53" s="22" t="n"/>
      <c r="AE53" s="22" t="n"/>
      <c r="AF53" s="22" t="n"/>
      <c r="AG53" s="22" t="n"/>
      <c r="AH53" s="23">
        <f>IF($A53="","",$A53&amp;"|"&amp;$B53)</f>
        <v/>
      </c>
    </row>
  </sheetData>
  <mergeCells count="7">
    <mergeCell ref="AB2:AG2"/>
    <mergeCell ref="A2:B2"/>
    <mergeCell ref="Y2:AA2"/>
    <mergeCell ref="M2:Q2"/>
    <mergeCell ref="K2:L2"/>
    <mergeCell ref="C2:J2"/>
    <mergeCell ref="R2:X2"/>
  </mergeCells>
  <dataValidations count="2">
    <dataValidation sqref="B4:B53" showDropDown="0" showInputMessage="0" showErrorMessage="0" allowBlank="1" type="list">
      <formula1>"2026-Q1,2026-Q2,2026-Q3,2026-Q4"</formula1>
      <formula2>0</formula2>
    </dataValidation>
    <dataValidation sqref="C4:AA53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3"/>
  <sheetViews>
    <sheetView zoomScaleNormal="100" workbookViewId="0">
      <pane xSplit="3" ySplit="3" topLeftCell="D4" activePane="bottomRight" state="frozen"/>
      <selection pane="bottomRight" activeCell="A1" sqref="A1"/>
      <selection pane="bottomLeft" activeCell="A4" sqref="A4"/>
      <selection pane="topRight" activeCell="D1" sqref="D1"/>
    </sheetView>
  </sheetViews>
  <sheetFormatPr baseColWidth="8" defaultColWidth="8.7109375" defaultRowHeight="15"/>
  <cols>
    <col width="11" customWidth="1" min="1" max="1"/>
    <col width="13" customWidth="1" min="2" max="2"/>
    <col width="11" customWidth="1" min="3" max="19"/>
  </cols>
  <sheetData>
    <row r="1">
      <c r="A1" s="15" t="inlineStr">
        <is>
          <t>METRICS (auto-computed from «3. Monthly») — do not type.</t>
        </is>
      </c>
    </row>
    <row r="2" ht="22.35" customHeight="1">
      <c r="A2" s="8" t="inlineStr">
        <is>
          <t>ProjectID</t>
        </is>
      </c>
      <c r="B2" s="8" t="inlineStr">
        <is>
          <t>Month</t>
        </is>
      </c>
      <c r="C2" s="8" t="inlineStr">
        <is>
          <t>Quarter</t>
        </is>
      </c>
      <c r="D2" s="8" t="inlineStr">
        <is>
          <t>AI usage %</t>
        </is>
      </c>
      <c r="E2" s="8" t="inlineStr">
        <is>
          <t>AI PR %</t>
        </is>
      </c>
      <c r="F2" s="8" t="inlineStr">
        <is>
          <t>%task agent</t>
        </is>
      </c>
      <c r="G2" s="8" t="inlineStr">
        <is>
          <t>Lead time(h)</t>
        </is>
      </c>
      <c r="H2" s="8" t="inlineStr">
        <is>
          <t>Deploys/week</t>
        </is>
      </c>
      <c r="I2" s="8" t="inlineStr">
        <is>
          <t>CFR %</t>
        </is>
      </c>
      <c r="J2" s="8" t="inlineStr">
        <is>
          <t>MTTR(h)</t>
        </is>
      </c>
      <c r="K2" s="8" t="inlineStr">
        <is>
          <t>Cost improvement %</t>
        </is>
      </c>
      <c r="L2" s="8" t="inlineStr">
        <is>
          <t>Rework %</t>
        </is>
      </c>
      <c r="M2" s="8" t="inlineStr">
        <is>
          <t>%PR-AI review</t>
        </is>
      </c>
      <c r="N2" s="8" t="inlineStr">
        <is>
          <t>Coverage %</t>
        </is>
      </c>
      <c r="O2" s="8" t="inlineStr">
        <is>
          <t>Vulns</t>
        </is>
      </c>
      <c r="P2" s="8" t="inlineStr">
        <is>
          <t>Agent success %</t>
        </is>
      </c>
      <c r="Q2" s="8" t="inlineStr">
        <is>
          <t>Human interv %</t>
        </is>
      </c>
      <c r="R2" s="8" t="inlineStr">
        <is>
          <t>Autonomous %</t>
        </is>
      </c>
      <c r="S2" s="8" t="inlineStr">
        <is>
          <t>Agent cycle(h)</t>
        </is>
      </c>
    </row>
    <row r="3"/>
    <row r="4">
      <c r="A4" s="4">
        <f>IF('3. Monthly'!A4="","",'3. Monthly'!A4)</f>
        <v/>
      </c>
      <c r="B4" s="20">
        <f>IF('3. Monthly'!A4="","",'3. Monthly'!B4)</f>
        <v/>
      </c>
      <c r="C4" s="4">
        <f>IF('3. Monthly'!A4="","",'3. Monthly'!C4)</f>
        <v/>
      </c>
      <c r="D4" s="21">
        <f>IFERROR('3. Monthly'!D4/'3. Monthly'!E4,"")</f>
        <v/>
      </c>
      <c r="E4" s="21">
        <f>IFERROR('3. Monthly'!F4/'3. Monthly'!G4,"")</f>
        <v/>
      </c>
      <c r="F4" s="21">
        <f>IFERROR('3. Monthly'!H4/'3. Monthly'!I4,"")</f>
        <v/>
      </c>
      <c r="G4" s="4">
        <f>IF('3. Monthly'!J4="","",'3. Monthly'!J4)</f>
        <v/>
      </c>
      <c r="H4" s="4">
        <f>IFERROR('3. Monthly'!K4/'3. Monthly'!L4,"")</f>
        <v/>
      </c>
      <c r="I4" s="21">
        <f>IFERROR('3. Monthly'!M4/'3. Monthly'!K4,"")</f>
        <v/>
      </c>
      <c r="J4" s="4">
        <f>IF('3. Monthly'!N4="","",'3. Monthly'!N4)</f>
        <v/>
      </c>
      <c r="K4" s="21">
        <f>IFERROR(('3. Monthly'!O4-'3. Monthly'!P4)/'3. Monthly'!O4,"")</f>
        <v/>
      </c>
      <c r="L4" s="21">
        <f>IFERROR('3. Monthly'!Q4/'3. Monthly'!G4,"")</f>
        <v/>
      </c>
      <c r="M4" s="21">
        <f>IFERROR('3. Monthly'!R4/'3. Monthly'!F4,"")</f>
        <v/>
      </c>
      <c r="N4" s="21">
        <f>IF('3. Monthly'!S4="","",'3. Monthly'!S4)</f>
        <v/>
      </c>
      <c r="O4" s="4">
        <f>IF('3. Monthly'!T4="","",'3. Monthly'!T4)</f>
        <v/>
      </c>
      <c r="P4" s="21">
        <f>IFERROR('3. Monthly'!U4/'3. Monthly'!H4,"")</f>
        <v/>
      </c>
      <c r="Q4" s="21">
        <f>IFERROR('3. Monthly'!V4/'3. Monthly'!H4,"")</f>
        <v/>
      </c>
      <c r="R4" s="21">
        <f>IFERROR('3. Monthly'!W4/'3. Monthly'!H4,"")</f>
        <v/>
      </c>
      <c r="S4" s="4">
        <f>IF('3. Monthly'!X4="","",'3. Monthly'!X4)</f>
        <v/>
      </c>
    </row>
    <row r="5">
      <c r="A5" s="4">
        <f>IF('3. Monthly'!A5="","",'3. Monthly'!A5)</f>
        <v/>
      </c>
      <c r="B5" s="20">
        <f>IF('3. Monthly'!A5="","",'3. Monthly'!B5)</f>
        <v/>
      </c>
      <c r="C5" s="4">
        <f>IF('3. Monthly'!A5="","",'3. Monthly'!C5)</f>
        <v/>
      </c>
      <c r="D5" s="21">
        <f>IFERROR('3. Monthly'!D5/'3. Monthly'!E5,"")</f>
        <v/>
      </c>
      <c r="E5" s="21">
        <f>IFERROR('3. Monthly'!F5/'3. Monthly'!G5,"")</f>
        <v/>
      </c>
      <c r="F5" s="21">
        <f>IFERROR('3. Monthly'!H5/'3. Monthly'!I5,"")</f>
        <v/>
      </c>
      <c r="G5" s="4">
        <f>IF('3. Monthly'!J5="","",'3. Monthly'!J5)</f>
        <v/>
      </c>
      <c r="H5" s="4">
        <f>IFERROR('3. Monthly'!K5/'3. Monthly'!L5,"")</f>
        <v/>
      </c>
      <c r="I5" s="21">
        <f>IFERROR('3. Monthly'!M5/'3. Monthly'!K5,"")</f>
        <v/>
      </c>
      <c r="J5" s="4">
        <f>IF('3. Monthly'!N5="","",'3. Monthly'!N5)</f>
        <v/>
      </c>
      <c r="K5" s="21">
        <f>IFERROR(('3. Monthly'!O5-'3. Monthly'!P5)/'3. Monthly'!O5,"")</f>
        <v/>
      </c>
      <c r="L5" s="21">
        <f>IFERROR('3. Monthly'!Q5/'3. Monthly'!G5,"")</f>
        <v/>
      </c>
      <c r="M5" s="21">
        <f>IFERROR('3. Monthly'!R5/'3. Monthly'!F5,"")</f>
        <v/>
      </c>
      <c r="N5" s="21">
        <f>IF('3. Monthly'!S5="","",'3. Monthly'!S5)</f>
        <v/>
      </c>
      <c r="O5" s="4">
        <f>IF('3. Monthly'!T5="","",'3. Monthly'!T5)</f>
        <v/>
      </c>
      <c r="P5" s="21">
        <f>IFERROR('3. Monthly'!U5/'3. Monthly'!H5,"")</f>
        <v/>
      </c>
      <c r="Q5" s="21">
        <f>IFERROR('3. Monthly'!V5/'3. Monthly'!H5,"")</f>
        <v/>
      </c>
      <c r="R5" s="21">
        <f>IFERROR('3. Monthly'!W5/'3. Monthly'!H5,"")</f>
        <v/>
      </c>
      <c r="S5" s="4">
        <f>IF('3. Monthly'!X5="","",'3. Monthly'!X5)</f>
        <v/>
      </c>
    </row>
    <row r="6">
      <c r="A6" s="4">
        <f>IF('3. Monthly'!A6="","",'3. Monthly'!A6)</f>
        <v/>
      </c>
      <c r="B6" s="20">
        <f>IF('3. Monthly'!A6="","",'3. Monthly'!B6)</f>
        <v/>
      </c>
      <c r="C6" s="4">
        <f>IF('3. Monthly'!A6="","",'3. Monthly'!C6)</f>
        <v/>
      </c>
      <c r="D6" s="21">
        <f>IFERROR('3. Monthly'!D6/'3. Monthly'!E6,"")</f>
        <v/>
      </c>
      <c r="E6" s="21">
        <f>IFERROR('3. Monthly'!F6/'3. Monthly'!G6,"")</f>
        <v/>
      </c>
      <c r="F6" s="21">
        <f>IFERROR('3. Monthly'!H6/'3. Monthly'!I6,"")</f>
        <v/>
      </c>
      <c r="G6" s="4">
        <f>IF('3. Monthly'!J6="","",'3. Monthly'!J6)</f>
        <v/>
      </c>
      <c r="H6" s="4">
        <f>IFERROR('3. Monthly'!K6/'3. Monthly'!L6,"")</f>
        <v/>
      </c>
      <c r="I6" s="21">
        <f>IFERROR('3. Monthly'!M6/'3. Monthly'!K6,"")</f>
        <v/>
      </c>
      <c r="J6" s="4">
        <f>IF('3. Monthly'!N6="","",'3. Monthly'!N6)</f>
        <v/>
      </c>
      <c r="K6" s="21">
        <f>IFERROR(('3. Monthly'!O6-'3. Monthly'!P6)/'3. Monthly'!O6,"")</f>
        <v/>
      </c>
      <c r="L6" s="21">
        <f>IFERROR('3. Monthly'!Q6/'3. Monthly'!G6,"")</f>
        <v/>
      </c>
      <c r="M6" s="21">
        <f>IFERROR('3. Monthly'!R6/'3. Monthly'!F6,"")</f>
        <v/>
      </c>
      <c r="N6" s="21">
        <f>IF('3. Monthly'!S6="","",'3. Monthly'!S6)</f>
        <v/>
      </c>
      <c r="O6" s="4">
        <f>IF('3. Monthly'!T6="","",'3. Monthly'!T6)</f>
        <v/>
      </c>
      <c r="P6" s="21">
        <f>IFERROR('3. Monthly'!U6/'3. Monthly'!H6,"")</f>
        <v/>
      </c>
      <c r="Q6" s="21">
        <f>IFERROR('3. Monthly'!V6/'3. Monthly'!H6,"")</f>
        <v/>
      </c>
      <c r="R6" s="21">
        <f>IFERROR('3. Monthly'!W6/'3. Monthly'!H6,"")</f>
        <v/>
      </c>
      <c r="S6" s="4">
        <f>IF('3. Monthly'!X6="","",'3. Monthly'!X6)</f>
        <v/>
      </c>
    </row>
    <row r="7">
      <c r="A7" s="4">
        <f>IF('3. Monthly'!A7="","",'3. Monthly'!A7)</f>
        <v/>
      </c>
      <c r="B7" s="20">
        <f>IF('3. Monthly'!A7="","",'3. Monthly'!B7)</f>
        <v/>
      </c>
      <c r="C7" s="4">
        <f>IF('3. Monthly'!A7="","",'3. Monthly'!C7)</f>
        <v/>
      </c>
      <c r="D7" s="21">
        <f>IFERROR('3. Monthly'!D7/'3. Monthly'!E7,"")</f>
        <v/>
      </c>
      <c r="E7" s="21">
        <f>IFERROR('3. Monthly'!F7/'3. Monthly'!G7,"")</f>
        <v/>
      </c>
      <c r="F7" s="21">
        <f>IFERROR('3. Monthly'!H7/'3. Monthly'!I7,"")</f>
        <v/>
      </c>
      <c r="G7" s="4">
        <f>IF('3. Monthly'!J7="","",'3. Monthly'!J7)</f>
        <v/>
      </c>
      <c r="H7" s="4">
        <f>IFERROR('3. Monthly'!K7/'3. Monthly'!L7,"")</f>
        <v/>
      </c>
      <c r="I7" s="21">
        <f>IFERROR('3. Monthly'!M7/'3. Monthly'!K7,"")</f>
        <v/>
      </c>
      <c r="J7" s="4">
        <f>IF('3. Monthly'!N7="","",'3. Monthly'!N7)</f>
        <v/>
      </c>
      <c r="K7" s="21">
        <f>IFERROR(('3. Monthly'!O7-'3. Monthly'!P7)/'3. Monthly'!O7,"")</f>
        <v/>
      </c>
      <c r="L7" s="21">
        <f>IFERROR('3. Monthly'!Q7/'3. Monthly'!G7,"")</f>
        <v/>
      </c>
      <c r="M7" s="21">
        <f>IFERROR('3. Monthly'!R7/'3. Monthly'!F7,"")</f>
        <v/>
      </c>
      <c r="N7" s="21">
        <f>IF('3. Monthly'!S7="","",'3. Monthly'!S7)</f>
        <v/>
      </c>
      <c r="O7" s="4">
        <f>IF('3. Monthly'!T7="","",'3. Monthly'!T7)</f>
        <v/>
      </c>
      <c r="P7" s="21">
        <f>IFERROR('3. Monthly'!U7/'3. Monthly'!H7,"")</f>
        <v/>
      </c>
      <c r="Q7" s="21">
        <f>IFERROR('3. Monthly'!V7/'3. Monthly'!H7,"")</f>
        <v/>
      </c>
      <c r="R7" s="21">
        <f>IFERROR('3. Monthly'!W7/'3. Monthly'!H7,"")</f>
        <v/>
      </c>
      <c r="S7" s="4">
        <f>IF('3. Monthly'!X7="","",'3. Monthly'!X7)</f>
        <v/>
      </c>
    </row>
    <row r="8">
      <c r="A8" s="4">
        <f>IF('3. Monthly'!A8="","",'3. Monthly'!A8)</f>
        <v/>
      </c>
      <c r="B8" s="20">
        <f>IF('3. Monthly'!A8="","",'3. Monthly'!B8)</f>
        <v/>
      </c>
      <c r="C8" s="4">
        <f>IF('3. Monthly'!A8="","",'3. Monthly'!C8)</f>
        <v/>
      </c>
      <c r="D8" s="21">
        <f>IFERROR('3. Monthly'!D8/'3. Monthly'!E8,"")</f>
        <v/>
      </c>
      <c r="E8" s="21">
        <f>IFERROR('3. Monthly'!F8/'3. Monthly'!G8,"")</f>
        <v/>
      </c>
      <c r="F8" s="21">
        <f>IFERROR('3. Monthly'!H8/'3. Monthly'!I8,"")</f>
        <v/>
      </c>
      <c r="G8" s="4">
        <f>IF('3. Monthly'!J8="","",'3. Monthly'!J8)</f>
        <v/>
      </c>
      <c r="H8" s="4">
        <f>IFERROR('3. Monthly'!K8/'3. Monthly'!L8,"")</f>
        <v/>
      </c>
      <c r="I8" s="21">
        <f>IFERROR('3. Monthly'!M8/'3. Monthly'!K8,"")</f>
        <v/>
      </c>
      <c r="J8" s="4">
        <f>IF('3. Monthly'!N8="","",'3. Monthly'!N8)</f>
        <v/>
      </c>
      <c r="K8" s="21">
        <f>IFERROR(('3. Monthly'!O8-'3. Monthly'!P8)/'3. Monthly'!O8,"")</f>
        <v/>
      </c>
      <c r="L8" s="21">
        <f>IFERROR('3. Monthly'!Q8/'3. Monthly'!G8,"")</f>
        <v/>
      </c>
      <c r="M8" s="21">
        <f>IFERROR('3. Monthly'!R8/'3. Monthly'!F8,"")</f>
        <v/>
      </c>
      <c r="N8" s="21">
        <f>IF('3. Monthly'!S8="","",'3. Monthly'!S8)</f>
        <v/>
      </c>
      <c r="O8" s="4">
        <f>IF('3. Monthly'!T8="","",'3. Monthly'!T8)</f>
        <v/>
      </c>
      <c r="P8" s="21">
        <f>IFERROR('3. Monthly'!U8/'3. Monthly'!H8,"")</f>
        <v/>
      </c>
      <c r="Q8" s="21">
        <f>IFERROR('3. Monthly'!V8/'3. Monthly'!H8,"")</f>
        <v/>
      </c>
      <c r="R8" s="21">
        <f>IFERROR('3. Monthly'!W8/'3. Monthly'!H8,"")</f>
        <v/>
      </c>
      <c r="S8" s="4">
        <f>IF('3. Monthly'!X8="","",'3. Monthly'!X8)</f>
        <v/>
      </c>
    </row>
    <row r="9">
      <c r="A9" s="4">
        <f>IF('3. Monthly'!A9="","",'3. Monthly'!A9)</f>
        <v/>
      </c>
      <c r="B9" s="20">
        <f>IF('3. Monthly'!A9="","",'3. Monthly'!B9)</f>
        <v/>
      </c>
      <c r="C9" s="4">
        <f>IF('3. Monthly'!A9="","",'3. Monthly'!C9)</f>
        <v/>
      </c>
      <c r="D9" s="21">
        <f>IFERROR('3. Monthly'!D9/'3. Monthly'!E9,"")</f>
        <v/>
      </c>
      <c r="E9" s="21">
        <f>IFERROR('3. Monthly'!F9/'3. Monthly'!G9,"")</f>
        <v/>
      </c>
      <c r="F9" s="21">
        <f>IFERROR('3. Monthly'!H9/'3. Monthly'!I9,"")</f>
        <v/>
      </c>
      <c r="G9" s="4">
        <f>IF('3. Monthly'!J9="","",'3. Monthly'!J9)</f>
        <v/>
      </c>
      <c r="H9" s="4">
        <f>IFERROR('3. Monthly'!K9/'3. Monthly'!L9,"")</f>
        <v/>
      </c>
      <c r="I9" s="21">
        <f>IFERROR('3. Monthly'!M9/'3. Monthly'!K9,"")</f>
        <v/>
      </c>
      <c r="J9" s="4">
        <f>IF('3. Monthly'!N9="","",'3. Monthly'!N9)</f>
        <v/>
      </c>
      <c r="K9" s="21">
        <f>IFERROR(('3. Monthly'!O9-'3. Monthly'!P9)/'3. Monthly'!O9,"")</f>
        <v/>
      </c>
      <c r="L9" s="21">
        <f>IFERROR('3. Monthly'!Q9/'3. Monthly'!G9,"")</f>
        <v/>
      </c>
      <c r="M9" s="21">
        <f>IFERROR('3. Monthly'!R9/'3. Monthly'!F9,"")</f>
        <v/>
      </c>
      <c r="N9" s="21">
        <f>IF('3. Monthly'!S9="","",'3. Monthly'!S9)</f>
        <v/>
      </c>
      <c r="O9" s="4">
        <f>IF('3. Monthly'!T9="","",'3. Monthly'!T9)</f>
        <v/>
      </c>
      <c r="P9" s="21">
        <f>IFERROR('3. Monthly'!U9/'3. Monthly'!H9,"")</f>
        <v/>
      </c>
      <c r="Q9" s="21">
        <f>IFERROR('3. Monthly'!V9/'3. Monthly'!H9,"")</f>
        <v/>
      </c>
      <c r="R9" s="21">
        <f>IFERROR('3. Monthly'!W9/'3. Monthly'!H9,"")</f>
        <v/>
      </c>
      <c r="S9" s="4">
        <f>IF('3. Monthly'!X9="","",'3. Monthly'!X9)</f>
        <v/>
      </c>
    </row>
    <row r="10">
      <c r="A10" s="4">
        <f>IF('3. Monthly'!A10="","",'3. Monthly'!A10)</f>
        <v/>
      </c>
      <c r="B10" s="20">
        <f>IF('3. Monthly'!A10="","",'3. Monthly'!B10)</f>
        <v/>
      </c>
      <c r="C10" s="4">
        <f>IF('3. Monthly'!A10="","",'3. Monthly'!C10)</f>
        <v/>
      </c>
      <c r="D10" s="21">
        <f>IFERROR('3. Monthly'!D10/'3. Monthly'!E10,"")</f>
        <v/>
      </c>
      <c r="E10" s="21">
        <f>IFERROR('3. Monthly'!F10/'3. Monthly'!G10,"")</f>
        <v/>
      </c>
      <c r="F10" s="21">
        <f>IFERROR('3. Monthly'!H10/'3. Monthly'!I10,"")</f>
        <v/>
      </c>
      <c r="G10" s="4">
        <f>IF('3. Monthly'!J10="","",'3. Monthly'!J10)</f>
        <v/>
      </c>
      <c r="H10" s="4">
        <f>IFERROR('3. Monthly'!K10/'3. Monthly'!L10,"")</f>
        <v/>
      </c>
      <c r="I10" s="21">
        <f>IFERROR('3. Monthly'!M10/'3. Monthly'!K10,"")</f>
        <v/>
      </c>
      <c r="J10" s="4">
        <f>IF('3. Monthly'!N10="","",'3. Monthly'!N10)</f>
        <v/>
      </c>
      <c r="K10" s="21">
        <f>IFERROR(('3. Monthly'!O10-'3. Monthly'!P10)/'3. Monthly'!O10,"")</f>
        <v/>
      </c>
      <c r="L10" s="21">
        <f>IFERROR('3. Monthly'!Q10/'3. Monthly'!G10,"")</f>
        <v/>
      </c>
      <c r="M10" s="21">
        <f>IFERROR('3. Monthly'!R10/'3. Monthly'!F10,"")</f>
        <v/>
      </c>
      <c r="N10" s="21">
        <f>IF('3. Monthly'!S10="","",'3. Monthly'!S10)</f>
        <v/>
      </c>
      <c r="O10" s="4">
        <f>IF('3. Monthly'!T10="","",'3. Monthly'!T10)</f>
        <v/>
      </c>
      <c r="P10" s="21">
        <f>IFERROR('3. Monthly'!U10/'3. Monthly'!H10,"")</f>
        <v/>
      </c>
      <c r="Q10" s="21">
        <f>IFERROR('3. Monthly'!V10/'3. Monthly'!H10,"")</f>
        <v/>
      </c>
      <c r="R10" s="21">
        <f>IFERROR('3. Monthly'!W10/'3. Monthly'!H10,"")</f>
        <v/>
      </c>
      <c r="S10" s="4">
        <f>IF('3. Monthly'!X10="","",'3. Monthly'!X10)</f>
        <v/>
      </c>
    </row>
    <row r="11">
      <c r="A11" s="4">
        <f>IF('3. Monthly'!A11="","",'3. Monthly'!A11)</f>
        <v/>
      </c>
      <c r="B11" s="20">
        <f>IF('3. Monthly'!A11="","",'3. Monthly'!B11)</f>
        <v/>
      </c>
      <c r="C11" s="4">
        <f>IF('3. Monthly'!A11="","",'3. Monthly'!C11)</f>
        <v/>
      </c>
      <c r="D11" s="21">
        <f>IFERROR('3. Monthly'!D11/'3. Monthly'!E11,"")</f>
        <v/>
      </c>
      <c r="E11" s="21">
        <f>IFERROR('3. Monthly'!F11/'3. Monthly'!G11,"")</f>
        <v/>
      </c>
      <c r="F11" s="21">
        <f>IFERROR('3. Monthly'!H11/'3. Monthly'!I11,"")</f>
        <v/>
      </c>
      <c r="G11" s="4">
        <f>IF('3. Monthly'!J11="","",'3. Monthly'!J11)</f>
        <v/>
      </c>
      <c r="H11" s="4">
        <f>IFERROR('3. Monthly'!K11/'3. Monthly'!L11,"")</f>
        <v/>
      </c>
      <c r="I11" s="21">
        <f>IFERROR('3. Monthly'!M11/'3. Monthly'!K11,"")</f>
        <v/>
      </c>
      <c r="J11" s="4">
        <f>IF('3. Monthly'!N11="","",'3. Monthly'!N11)</f>
        <v/>
      </c>
      <c r="K11" s="21">
        <f>IFERROR(('3. Monthly'!O11-'3. Monthly'!P11)/'3. Monthly'!O11,"")</f>
        <v/>
      </c>
      <c r="L11" s="21">
        <f>IFERROR('3. Monthly'!Q11/'3. Monthly'!G11,"")</f>
        <v/>
      </c>
      <c r="M11" s="21">
        <f>IFERROR('3. Monthly'!R11/'3. Monthly'!F11,"")</f>
        <v/>
      </c>
      <c r="N11" s="21">
        <f>IF('3. Monthly'!S11="","",'3. Monthly'!S11)</f>
        <v/>
      </c>
      <c r="O11" s="4">
        <f>IF('3. Monthly'!T11="","",'3. Monthly'!T11)</f>
        <v/>
      </c>
      <c r="P11" s="21">
        <f>IFERROR('3. Monthly'!U11/'3. Monthly'!H11,"")</f>
        <v/>
      </c>
      <c r="Q11" s="21">
        <f>IFERROR('3. Monthly'!V11/'3. Monthly'!H11,"")</f>
        <v/>
      </c>
      <c r="R11" s="21">
        <f>IFERROR('3. Monthly'!W11/'3. Monthly'!H11,"")</f>
        <v/>
      </c>
      <c r="S11" s="4">
        <f>IF('3. Monthly'!X11="","",'3. Monthly'!X11)</f>
        <v/>
      </c>
    </row>
    <row r="12">
      <c r="A12" s="4">
        <f>IF('3. Monthly'!A12="","",'3. Monthly'!A12)</f>
        <v/>
      </c>
      <c r="B12" s="20">
        <f>IF('3. Monthly'!A12="","",'3. Monthly'!B12)</f>
        <v/>
      </c>
      <c r="C12" s="4">
        <f>IF('3. Monthly'!A12="","",'3. Monthly'!C12)</f>
        <v/>
      </c>
      <c r="D12" s="21">
        <f>IFERROR('3. Monthly'!D12/'3. Monthly'!E12,"")</f>
        <v/>
      </c>
      <c r="E12" s="21">
        <f>IFERROR('3. Monthly'!F12/'3. Monthly'!G12,"")</f>
        <v/>
      </c>
      <c r="F12" s="21">
        <f>IFERROR('3. Monthly'!H12/'3. Monthly'!I12,"")</f>
        <v/>
      </c>
      <c r="G12" s="4">
        <f>IF('3. Monthly'!J12="","",'3. Monthly'!J12)</f>
        <v/>
      </c>
      <c r="H12" s="4">
        <f>IFERROR('3. Monthly'!K12/'3. Monthly'!L12,"")</f>
        <v/>
      </c>
      <c r="I12" s="21">
        <f>IFERROR('3. Monthly'!M12/'3. Monthly'!K12,"")</f>
        <v/>
      </c>
      <c r="J12" s="4">
        <f>IF('3. Monthly'!N12="","",'3. Monthly'!N12)</f>
        <v/>
      </c>
      <c r="K12" s="21">
        <f>IFERROR(('3. Monthly'!O12-'3. Monthly'!P12)/'3. Monthly'!O12,"")</f>
        <v/>
      </c>
      <c r="L12" s="21">
        <f>IFERROR('3. Monthly'!Q12/'3. Monthly'!G12,"")</f>
        <v/>
      </c>
      <c r="M12" s="21">
        <f>IFERROR('3. Monthly'!R12/'3. Monthly'!F12,"")</f>
        <v/>
      </c>
      <c r="N12" s="21">
        <f>IF('3. Monthly'!S12="","",'3. Monthly'!S12)</f>
        <v/>
      </c>
      <c r="O12" s="4">
        <f>IF('3. Monthly'!T12="","",'3. Monthly'!T12)</f>
        <v/>
      </c>
      <c r="P12" s="21">
        <f>IFERROR('3. Monthly'!U12/'3. Monthly'!H12,"")</f>
        <v/>
      </c>
      <c r="Q12" s="21">
        <f>IFERROR('3. Monthly'!V12/'3. Monthly'!H12,"")</f>
        <v/>
      </c>
      <c r="R12" s="21">
        <f>IFERROR('3. Monthly'!W12/'3. Monthly'!H12,"")</f>
        <v/>
      </c>
      <c r="S12" s="4">
        <f>IF('3. Monthly'!X12="","",'3. Monthly'!X12)</f>
        <v/>
      </c>
    </row>
    <row r="13">
      <c r="A13" s="4">
        <f>IF('3. Monthly'!A13="","",'3. Monthly'!A13)</f>
        <v/>
      </c>
      <c r="B13" s="20">
        <f>IF('3. Monthly'!A13="","",'3. Monthly'!B13)</f>
        <v/>
      </c>
      <c r="C13" s="4">
        <f>IF('3. Monthly'!A13="","",'3. Monthly'!C13)</f>
        <v/>
      </c>
      <c r="D13" s="21">
        <f>IFERROR('3. Monthly'!D13/'3. Monthly'!E13,"")</f>
        <v/>
      </c>
      <c r="E13" s="21">
        <f>IFERROR('3. Monthly'!F13/'3. Monthly'!G13,"")</f>
        <v/>
      </c>
      <c r="F13" s="21">
        <f>IFERROR('3. Monthly'!H13/'3. Monthly'!I13,"")</f>
        <v/>
      </c>
      <c r="G13" s="4">
        <f>IF('3. Monthly'!J13="","",'3. Monthly'!J13)</f>
        <v/>
      </c>
      <c r="H13" s="4">
        <f>IFERROR('3. Monthly'!K13/'3. Monthly'!L13,"")</f>
        <v/>
      </c>
      <c r="I13" s="21">
        <f>IFERROR('3. Monthly'!M13/'3. Monthly'!K13,"")</f>
        <v/>
      </c>
      <c r="J13" s="4">
        <f>IF('3. Monthly'!N13="","",'3. Monthly'!N13)</f>
        <v/>
      </c>
      <c r="K13" s="21">
        <f>IFERROR(('3. Monthly'!O13-'3. Monthly'!P13)/'3. Monthly'!O13,"")</f>
        <v/>
      </c>
      <c r="L13" s="21">
        <f>IFERROR('3. Monthly'!Q13/'3. Monthly'!G13,"")</f>
        <v/>
      </c>
      <c r="M13" s="21">
        <f>IFERROR('3. Monthly'!R13/'3. Monthly'!F13,"")</f>
        <v/>
      </c>
      <c r="N13" s="21">
        <f>IF('3. Monthly'!S13="","",'3. Monthly'!S13)</f>
        <v/>
      </c>
      <c r="O13" s="4">
        <f>IF('3. Monthly'!T13="","",'3. Monthly'!T13)</f>
        <v/>
      </c>
      <c r="P13" s="21">
        <f>IFERROR('3. Monthly'!U13/'3. Monthly'!H13,"")</f>
        <v/>
      </c>
      <c r="Q13" s="21">
        <f>IFERROR('3. Monthly'!V13/'3. Monthly'!H13,"")</f>
        <v/>
      </c>
      <c r="R13" s="21">
        <f>IFERROR('3. Monthly'!W13/'3. Monthly'!H13,"")</f>
        <v/>
      </c>
      <c r="S13" s="4">
        <f>IF('3. Monthly'!X13="","",'3. Monthly'!X13)</f>
        <v/>
      </c>
    </row>
    <row r="14">
      <c r="A14" s="4">
        <f>IF('3. Monthly'!A14="","",'3. Monthly'!A14)</f>
        <v/>
      </c>
      <c r="B14" s="20">
        <f>IF('3. Monthly'!A14="","",'3. Monthly'!B14)</f>
        <v/>
      </c>
      <c r="C14" s="4">
        <f>IF('3. Monthly'!A14="","",'3. Monthly'!C14)</f>
        <v/>
      </c>
      <c r="D14" s="21">
        <f>IFERROR('3. Monthly'!D14/'3. Monthly'!E14,"")</f>
        <v/>
      </c>
      <c r="E14" s="21">
        <f>IFERROR('3. Monthly'!F14/'3. Monthly'!G14,"")</f>
        <v/>
      </c>
      <c r="F14" s="21">
        <f>IFERROR('3. Monthly'!H14/'3. Monthly'!I14,"")</f>
        <v/>
      </c>
      <c r="G14" s="4">
        <f>IF('3. Monthly'!J14="","",'3. Monthly'!J14)</f>
        <v/>
      </c>
      <c r="H14" s="4">
        <f>IFERROR('3. Monthly'!K14/'3. Monthly'!L14,"")</f>
        <v/>
      </c>
      <c r="I14" s="21">
        <f>IFERROR('3. Monthly'!M14/'3. Monthly'!K14,"")</f>
        <v/>
      </c>
      <c r="J14" s="4">
        <f>IF('3. Monthly'!N14="","",'3. Monthly'!N14)</f>
        <v/>
      </c>
      <c r="K14" s="21">
        <f>IFERROR(('3. Monthly'!O14-'3. Monthly'!P14)/'3. Monthly'!O14,"")</f>
        <v/>
      </c>
      <c r="L14" s="21">
        <f>IFERROR('3. Monthly'!Q14/'3. Monthly'!G14,"")</f>
        <v/>
      </c>
      <c r="M14" s="21">
        <f>IFERROR('3. Monthly'!R14/'3. Monthly'!F14,"")</f>
        <v/>
      </c>
      <c r="N14" s="21">
        <f>IF('3. Monthly'!S14="","",'3. Monthly'!S14)</f>
        <v/>
      </c>
      <c r="O14" s="4">
        <f>IF('3. Monthly'!T14="","",'3. Monthly'!T14)</f>
        <v/>
      </c>
      <c r="P14" s="21">
        <f>IFERROR('3. Monthly'!U14/'3. Monthly'!H14,"")</f>
        <v/>
      </c>
      <c r="Q14" s="21">
        <f>IFERROR('3. Monthly'!V14/'3. Monthly'!H14,"")</f>
        <v/>
      </c>
      <c r="R14" s="21">
        <f>IFERROR('3. Monthly'!W14/'3. Monthly'!H14,"")</f>
        <v/>
      </c>
      <c r="S14" s="4">
        <f>IF('3. Monthly'!X14="","",'3. Monthly'!X14)</f>
        <v/>
      </c>
    </row>
    <row r="15">
      <c r="A15" s="4">
        <f>IF('3. Monthly'!A15="","",'3. Monthly'!A15)</f>
        <v/>
      </c>
      <c r="B15" s="20">
        <f>IF('3. Monthly'!A15="","",'3. Monthly'!B15)</f>
        <v/>
      </c>
      <c r="C15" s="4">
        <f>IF('3. Monthly'!A15="","",'3. Monthly'!C15)</f>
        <v/>
      </c>
      <c r="D15" s="21">
        <f>IFERROR('3. Monthly'!D15/'3. Monthly'!E15,"")</f>
        <v/>
      </c>
      <c r="E15" s="21">
        <f>IFERROR('3. Monthly'!F15/'3. Monthly'!G15,"")</f>
        <v/>
      </c>
      <c r="F15" s="21">
        <f>IFERROR('3. Monthly'!H15/'3. Monthly'!I15,"")</f>
        <v/>
      </c>
      <c r="G15" s="4">
        <f>IF('3. Monthly'!J15="","",'3. Monthly'!J15)</f>
        <v/>
      </c>
      <c r="H15" s="4">
        <f>IFERROR('3. Monthly'!K15/'3. Monthly'!L15,"")</f>
        <v/>
      </c>
      <c r="I15" s="21">
        <f>IFERROR('3. Monthly'!M15/'3. Monthly'!K15,"")</f>
        <v/>
      </c>
      <c r="J15" s="4">
        <f>IF('3. Monthly'!N15="","",'3. Monthly'!N15)</f>
        <v/>
      </c>
      <c r="K15" s="21">
        <f>IFERROR(('3. Monthly'!O15-'3. Monthly'!P15)/'3. Monthly'!O15,"")</f>
        <v/>
      </c>
      <c r="L15" s="21">
        <f>IFERROR('3. Monthly'!Q15/'3. Monthly'!G15,"")</f>
        <v/>
      </c>
      <c r="M15" s="21">
        <f>IFERROR('3. Monthly'!R15/'3. Monthly'!F15,"")</f>
        <v/>
      </c>
      <c r="N15" s="21">
        <f>IF('3. Monthly'!S15="","",'3. Monthly'!S15)</f>
        <v/>
      </c>
      <c r="O15" s="4">
        <f>IF('3. Monthly'!T15="","",'3. Monthly'!T15)</f>
        <v/>
      </c>
      <c r="P15" s="21">
        <f>IFERROR('3. Monthly'!U15/'3. Monthly'!H15,"")</f>
        <v/>
      </c>
      <c r="Q15" s="21">
        <f>IFERROR('3. Monthly'!V15/'3. Monthly'!H15,"")</f>
        <v/>
      </c>
      <c r="R15" s="21">
        <f>IFERROR('3. Monthly'!W15/'3. Monthly'!H15,"")</f>
        <v/>
      </c>
      <c r="S15" s="4">
        <f>IF('3. Monthly'!X15="","",'3. Monthly'!X15)</f>
        <v/>
      </c>
    </row>
    <row r="16">
      <c r="A16" s="4">
        <f>IF('3. Monthly'!A16="","",'3. Monthly'!A16)</f>
        <v/>
      </c>
      <c r="B16" s="20">
        <f>IF('3. Monthly'!A16="","",'3. Monthly'!B16)</f>
        <v/>
      </c>
      <c r="C16" s="4">
        <f>IF('3. Monthly'!A16="","",'3. Monthly'!C16)</f>
        <v/>
      </c>
      <c r="D16" s="21">
        <f>IFERROR('3. Monthly'!D16/'3. Monthly'!E16,"")</f>
        <v/>
      </c>
      <c r="E16" s="21">
        <f>IFERROR('3. Monthly'!F16/'3. Monthly'!G16,"")</f>
        <v/>
      </c>
      <c r="F16" s="21">
        <f>IFERROR('3. Monthly'!H16/'3. Monthly'!I16,"")</f>
        <v/>
      </c>
      <c r="G16" s="4">
        <f>IF('3. Monthly'!J16="","",'3. Monthly'!J16)</f>
        <v/>
      </c>
      <c r="H16" s="4">
        <f>IFERROR('3. Monthly'!K16/'3. Monthly'!L16,"")</f>
        <v/>
      </c>
      <c r="I16" s="21">
        <f>IFERROR('3. Monthly'!M16/'3. Monthly'!K16,"")</f>
        <v/>
      </c>
      <c r="J16" s="4">
        <f>IF('3. Monthly'!N16="","",'3. Monthly'!N16)</f>
        <v/>
      </c>
      <c r="K16" s="21">
        <f>IFERROR(('3. Monthly'!O16-'3. Monthly'!P16)/'3. Monthly'!O16,"")</f>
        <v/>
      </c>
      <c r="L16" s="21">
        <f>IFERROR('3. Monthly'!Q16/'3. Monthly'!G16,"")</f>
        <v/>
      </c>
      <c r="M16" s="21">
        <f>IFERROR('3. Monthly'!R16/'3. Monthly'!F16,"")</f>
        <v/>
      </c>
      <c r="N16" s="21">
        <f>IF('3. Monthly'!S16="","",'3. Monthly'!S16)</f>
        <v/>
      </c>
      <c r="O16" s="4">
        <f>IF('3. Monthly'!T16="","",'3. Monthly'!T16)</f>
        <v/>
      </c>
      <c r="P16" s="21">
        <f>IFERROR('3. Monthly'!U16/'3. Monthly'!H16,"")</f>
        <v/>
      </c>
      <c r="Q16" s="21">
        <f>IFERROR('3. Monthly'!V16/'3. Monthly'!H16,"")</f>
        <v/>
      </c>
      <c r="R16" s="21">
        <f>IFERROR('3. Monthly'!W16/'3. Monthly'!H16,"")</f>
        <v/>
      </c>
      <c r="S16" s="4">
        <f>IF('3. Monthly'!X16="","",'3. Monthly'!X16)</f>
        <v/>
      </c>
    </row>
    <row r="17">
      <c r="A17" s="4">
        <f>IF('3. Monthly'!A17="","",'3. Monthly'!A17)</f>
        <v/>
      </c>
      <c r="B17" s="20">
        <f>IF('3. Monthly'!A17="","",'3. Monthly'!B17)</f>
        <v/>
      </c>
      <c r="C17" s="4">
        <f>IF('3. Monthly'!A17="","",'3. Monthly'!C17)</f>
        <v/>
      </c>
      <c r="D17" s="21">
        <f>IFERROR('3. Monthly'!D17/'3. Monthly'!E17,"")</f>
        <v/>
      </c>
      <c r="E17" s="21">
        <f>IFERROR('3. Monthly'!F17/'3. Monthly'!G17,"")</f>
        <v/>
      </c>
      <c r="F17" s="21">
        <f>IFERROR('3. Monthly'!H17/'3. Monthly'!I17,"")</f>
        <v/>
      </c>
      <c r="G17" s="4">
        <f>IF('3. Monthly'!J17="","",'3. Monthly'!J17)</f>
        <v/>
      </c>
      <c r="H17" s="4">
        <f>IFERROR('3. Monthly'!K17/'3. Monthly'!L17,"")</f>
        <v/>
      </c>
      <c r="I17" s="21">
        <f>IFERROR('3. Monthly'!M17/'3. Monthly'!K17,"")</f>
        <v/>
      </c>
      <c r="J17" s="4">
        <f>IF('3. Monthly'!N17="","",'3. Monthly'!N17)</f>
        <v/>
      </c>
      <c r="K17" s="21">
        <f>IFERROR(('3. Monthly'!O17-'3. Monthly'!P17)/'3. Monthly'!O17,"")</f>
        <v/>
      </c>
      <c r="L17" s="21">
        <f>IFERROR('3. Monthly'!Q17/'3. Monthly'!G17,"")</f>
        <v/>
      </c>
      <c r="M17" s="21">
        <f>IFERROR('3. Monthly'!R17/'3. Monthly'!F17,"")</f>
        <v/>
      </c>
      <c r="N17" s="21">
        <f>IF('3. Monthly'!S17="","",'3. Monthly'!S17)</f>
        <v/>
      </c>
      <c r="O17" s="4">
        <f>IF('3. Monthly'!T17="","",'3. Monthly'!T17)</f>
        <v/>
      </c>
      <c r="P17" s="21">
        <f>IFERROR('3. Monthly'!U17/'3. Monthly'!H17,"")</f>
        <v/>
      </c>
      <c r="Q17" s="21">
        <f>IFERROR('3. Monthly'!V17/'3. Monthly'!H17,"")</f>
        <v/>
      </c>
      <c r="R17" s="21">
        <f>IFERROR('3. Monthly'!W17/'3. Monthly'!H17,"")</f>
        <v/>
      </c>
      <c r="S17" s="4">
        <f>IF('3. Monthly'!X17="","",'3. Monthly'!X17)</f>
        <v/>
      </c>
    </row>
    <row r="18">
      <c r="A18" s="4">
        <f>IF('3. Monthly'!A18="","",'3. Monthly'!A18)</f>
        <v/>
      </c>
      <c r="B18" s="20">
        <f>IF('3. Monthly'!A18="","",'3. Monthly'!B18)</f>
        <v/>
      </c>
      <c r="C18" s="4">
        <f>IF('3. Monthly'!A18="","",'3. Monthly'!C18)</f>
        <v/>
      </c>
      <c r="D18" s="21">
        <f>IFERROR('3. Monthly'!D18/'3. Monthly'!E18,"")</f>
        <v/>
      </c>
      <c r="E18" s="21">
        <f>IFERROR('3. Monthly'!F18/'3. Monthly'!G18,"")</f>
        <v/>
      </c>
      <c r="F18" s="21">
        <f>IFERROR('3. Monthly'!H18/'3. Monthly'!I18,"")</f>
        <v/>
      </c>
      <c r="G18" s="4">
        <f>IF('3. Monthly'!J18="","",'3. Monthly'!J18)</f>
        <v/>
      </c>
      <c r="H18" s="4">
        <f>IFERROR('3. Monthly'!K18/'3. Monthly'!L18,"")</f>
        <v/>
      </c>
      <c r="I18" s="21">
        <f>IFERROR('3. Monthly'!M18/'3. Monthly'!K18,"")</f>
        <v/>
      </c>
      <c r="J18" s="4">
        <f>IF('3. Monthly'!N18="","",'3. Monthly'!N18)</f>
        <v/>
      </c>
      <c r="K18" s="21">
        <f>IFERROR(('3. Monthly'!O18-'3. Monthly'!P18)/'3. Monthly'!O18,"")</f>
        <v/>
      </c>
      <c r="L18" s="21">
        <f>IFERROR('3. Monthly'!Q18/'3. Monthly'!G18,"")</f>
        <v/>
      </c>
      <c r="M18" s="21">
        <f>IFERROR('3. Monthly'!R18/'3. Monthly'!F18,"")</f>
        <v/>
      </c>
      <c r="N18" s="21">
        <f>IF('3. Monthly'!S18="","",'3. Monthly'!S18)</f>
        <v/>
      </c>
      <c r="O18" s="4">
        <f>IF('3. Monthly'!T18="","",'3. Monthly'!T18)</f>
        <v/>
      </c>
      <c r="P18" s="21">
        <f>IFERROR('3. Monthly'!U18/'3. Monthly'!H18,"")</f>
        <v/>
      </c>
      <c r="Q18" s="21">
        <f>IFERROR('3. Monthly'!V18/'3. Monthly'!H18,"")</f>
        <v/>
      </c>
      <c r="R18" s="21">
        <f>IFERROR('3. Monthly'!W18/'3. Monthly'!H18,"")</f>
        <v/>
      </c>
      <c r="S18" s="4">
        <f>IF('3. Monthly'!X18="","",'3. Monthly'!X18)</f>
        <v/>
      </c>
    </row>
    <row r="19">
      <c r="A19" s="4">
        <f>IF('3. Monthly'!A19="","",'3. Monthly'!A19)</f>
        <v/>
      </c>
      <c r="B19" s="20">
        <f>IF('3. Monthly'!A19="","",'3. Monthly'!B19)</f>
        <v/>
      </c>
      <c r="C19" s="4">
        <f>IF('3. Monthly'!A19="","",'3. Monthly'!C19)</f>
        <v/>
      </c>
      <c r="D19" s="21">
        <f>IFERROR('3. Monthly'!D19/'3. Monthly'!E19,"")</f>
        <v/>
      </c>
      <c r="E19" s="21">
        <f>IFERROR('3. Monthly'!F19/'3. Monthly'!G19,"")</f>
        <v/>
      </c>
      <c r="F19" s="21">
        <f>IFERROR('3. Monthly'!H19/'3. Monthly'!I19,"")</f>
        <v/>
      </c>
      <c r="G19" s="4">
        <f>IF('3. Monthly'!J19="","",'3. Monthly'!J19)</f>
        <v/>
      </c>
      <c r="H19" s="4">
        <f>IFERROR('3. Monthly'!K19/'3. Monthly'!L19,"")</f>
        <v/>
      </c>
      <c r="I19" s="21">
        <f>IFERROR('3. Monthly'!M19/'3. Monthly'!K19,"")</f>
        <v/>
      </c>
      <c r="J19" s="4">
        <f>IF('3. Monthly'!N19="","",'3. Monthly'!N19)</f>
        <v/>
      </c>
      <c r="K19" s="21">
        <f>IFERROR(('3. Monthly'!O19-'3. Monthly'!P19)/'3. Monthly'!O19,"")</f>
        <v/>
      </c>
      <c r="L19" s="21">
        <f>IFERROR('3. Monthly'!Q19/'3. Monthly'!G19,"")</f>
        <v/>
      </c>
      <c r="M19" s="21">
        <f>IFERROR('3. Monthly'!R19/'3. Monthly'!F19,"")</f>
        <v/>
      </c>
      <c r="N19" s="21">
        <f>IF('3. Monthly'!S19="","",'3. Monthly'!S19)</f>
        <v/>
      </c>
      <c r="O19" s="4">
        <f>IF('3. Monthly'!T19="","",'3. Monthly'!T19)</f>
        <v/>
      </c>
      <c r="P19" s="21">
        <f>IFERROR('3. Monthly'!U19/'3. Monthly'!H19,"")</f>
        <v/>
      </c>
      <c r="Q19" s="21">
        <f>IFERROR('3. Monthly'!V19/'3. Monthly'!H19,"")</f>
        <v/>
      </c>
      <c r="R19" s="21">
        <f>IFERROR('3. Monthly'!W19/'3. Monthly'!H19,"")</f>
        <v/>
      </c>
      <c r="S19" s="4">
        <f>IF('3. Monthly'!X19="","",'3. Monthly'!X19)</f>
        <v/>
      </c>
    </row>
    <row r="20">
      <c r="A20" s="4">
        <f>IF('3. Monthly'!A20="","",'3. Monthly'!A20)</f>
        <v/>
      </c>
      <c r="B20" s="20">
        <f>IF('3. Monthly'!A20="","",'3. Monthly'!B20)</f>
        <v/>
      </c>
      <c r="C20" s="4">
        <f>IF('3. Monthly'!A20="","",'3. Monthly'!C20)</f>
        <v/>
      </c>
      <c r="D20" s="21">
        <f>IFERROR('3. Monthly'!D20/'3. Monthly'!E20,"")</f>
        <v/>
      </c>
      <c r="E20" s="21">
        <f>IFERROR('3. Monthly'!F20/'3. Monthly'!G20,"")</f>
        <v/>
      </c>
      <c r="F20" s="21">
        <f>IFERROR('3. Monthly'!H20/'3. Monthly'!I20,"")</f>
        <v/>
      </c>
      <c r="G20" s="4">
        <f>IF('3. Monthly'!J20="","",'3. Monthly'!J20)</f>
        <v/>
      </c>
      <c r="H20" s="4">
        <f>IFERROR('3. Monthly'!K20/'3. Monthly'!L20,"")</f>
        <v/>
      </c>
      <c r="I20" s="21">
        <f>IFERROR('3. Monthly'!M20/'3. Monthly'!K20,"")</f>
        <v/>
      </c>
      <c r="J20" s="4">
        <f>IF('3. Monthly'!N20="","",'3. Monthly'!N20)</f>
        <v/>
      </c>
      <c r="K20" s="21">
        <f>IFERROR(('3. Monthly'!O20-'3. Monthly'!P20)/'3. Monthly'!O20,"")</f>
        <v/>
      </c>
      <c r="L20" s="21">
        <f>IFERROR('3. Monthly'!Q20/'3. Monthly'!G20,"")</f>
        <v/>
      </c>
      <c r="M20" s="21">
        <f>IFERROR('3. Monthly'!R20/'3. Monthly'!F20,"")</f>
        <v/>
      </c>
      <c r="N20" s="21">
        <f>IF('3. Monthly'!S20="","",'3. Monthly'!S20)</f>
        <v/>
      </c>
      <c r="O20" s="4">
        <f>IF('3. Monthly'!T20="","",'3. Monthly'!T20)</f>
        <v/>
      </c>
      <c r="P20" s="21">
        <f>IFERROR('3. Monthly'!U20/'3. Monthly'!H20,"")</f>
        <v/>
      </c>
      <c r="Q20" s="21">
        <f>IFERROR('3. Monthly'!V20/'3. Monthly'!H20,"")</f>
        <v/>
      </c>
      <c r="R20" s="21">
        <f>IFERROR('3. Monthly'!W20/'3. Monthly'!H20,"")</f>
        <v/>
      </c>
      <c r="S20" s="4">
        <f>IF('3. Monthly'!X20="","",'3. Monthly'!X20)</f>
        <v/>
      </c>
    </row>
    <row r="21">
      <c r="A21" s="4">
        <f>IF('3. Monthly'!A21="","",'3. Monthly'!A21)</f>
        <v/>
      </c>
      <c r="B21" s="20">
        <f>IF('3. Monthly'!A21="","",'3. Monthly'!B21)</f>
        <v/>
      </c>
      <c r="C21" s="4">
        <f>IF('3. Monthly'!A21="","",'3. Monthly'!C21)</f>
        <v/>
      </c>
      <c r="D21" s="21">
        <f>IFERROR('3. Monthly'!D21/'3. Monthly'!E21,"")</f>
        <v/>
      </c>
      <c r="E21" s="21">
        <f>IFERROR('3. Monthly'!F21/'3. Monthly'!G21,"")</f>
        <v/>
      </c>
      <c r="F21" s="21">
        <f>IFERROR('3. Monthly'!H21/'3. Monthly'!I21,"")</f>
        <v/>
      </c>
      <c r="G21" s="4">
        <f>IF('3. Monthly'!J21="","",'3. Monthly'!J21)</f>
        <v/>
      </c>
      <c r="H21" s="4">
        <f>IFERROR('3. Monthly'!K21/'3. Monthly'!L21,"")</f>
        <v/>
      </c>
      <c r="I21" s="21">
        <f>IFERROR('3. Monthly'!M21/'3. Monthly'!K21,"")</f>
        <v/>
      </c>
      <c r="J21" s="4">
        <f>IF('3. Monthly'!N21="","",'3. Monthly'!N21)</f>
        <v/>
      </c>
      <c r="K21" s="21">
        <f>IFERROR(('3. Monthly'!O21-'3. Monthly'!P21)/'3. Monthly'!O21,"")</f>
        <v/>
      </c>
      <c r="L21" s="21">
        <f>IFERROR('3. Monthly'!Q21/'3. Monthly'!G21,"")</f>
        <v/>
      </c>
      <c r="M21" s="21">
        <f>IFERROR('3. Monthly'!R21/'3. Monthly'!F21,"")</f>
        <v/>
      </c>
      <c r="N21" s="21">
        <f>IF('3. Monthly'!S21="","",'3. Monthly'!S21)</f>
        <v/>
      </c>
      <c r="O21" s="4">
        <f>IF('3. Monthly'!T21="","",'3. Monthly'!T21)</f>
        <v/>
      </c>
      <c r="P21" s="21">
        <f>IFERROR('3. Monthly'!U21/'3. Monthly'!H21,"")</f>
        <v/>
      </c>
      <c r="Q21" s="21">
        <f>IFERROR('3. Monthly'!V21/'3. Monthly'!H21,"")</f>
        <v/>
      </c>
      <c r="R21" s="21">
        <f>IFERROR('3. Monthly'!W21/'3. Monthly'!H21,"")</f>
        <v/>
      </c>
      <c r="S21" s="4">
        <f>IF('3. Monthly'!X21="","",'3. Monthly'!X21)</f>
        <v/>
      </c>
    </row>
    <row r="22">
      <c r="A22" s="4">
        <f>IF('3. Monthly'!A22="","",'3. Monthly'!A22)</f>
        <v/>
      </c>
      <c r="B22" s="20">
        <f>IF('3. Monthly'!A22="","",'3. Monthly'!B22)</f>
        <v/>
      </c>
      <c r="C22" s="4">
        <f>IF('3. Monthly'!A22="","",'3. Monthly'!C22)</f>
        <v/>
      </c>
      <c r="D22" s="21">
        <f>IFERROR('3. Monthly'!D22/'3. Monthly'!E22,"")</f>
        <v/>
      </c>
      <c r="E22" s="21">
        <f>IFERROR('3. Monthly'!F22/'3. Monthly'!G22,"")</f>
        <v/>
      </c>
      <c r="F22" s="21">
        <f>IFERROR('3. Monthly'!H22/'3. Monthly'!I22,"")</f>
        <v/>
      </c>
      <c r="G22" s="4">
        <f>IF('3. Monthly'!J22="","",'3. Monthly'!J22)</f>
        <v/>
      </c>
      <c r="H22" s="4">
        <f>IFERROR('3. Monthly'!K22/'3. Monthly'!L22,"")</f>
        <v/>
      </c>
      <c r="I22" s="21">
        <f>IFERROR('3. Monthly'!M22/'3. Monthly'!K22,"")</f>
        <v/>
      </c>
      <c r="J22" s="4">
        <f>IF('3. Monthly'!N22="","",'3. Monthly'!N22)</f>
        <v/>
      </c>
      <c r="K22" s="21">
        <f>IFERROR(('3. Monthly'!O22-'3. Monthly'!P22)/'3. Monthly'!O22,"")</f>
        <v/>
      </c>
      <c r="L22" s="21">
        <f>IFERROR('3. Monthly'!Q22/'3. Monthly'!G22,"")</f>
        <v/>
      </c>
      <c r="M22" s="21">
        <f>IFERROR('3. Monthly'!R22/'3. Monthly'!F22,"")</f>
        <v/>
      </c>
      <c r="N22" s="21">
        <f>IF('3. Monthly'!S22="","",'3. Monthly'!S22)</f>
        <v/>
      </c>
      <c r="O22" s="4">
        <f>IF('3. Monthly'!T22="","",'3. Monthly'!T22)</f>
        <v/>
      </c>
      <c r="P22" s="21">
        <f>IFERROR('3. Monthly'!U22/'3. Monthly'!H22,"")</f>
        <v/>
      </c>
      <c r="Q22" s="21">
        <f>IFERROR('3. Monthly'!V22/'3. Monthly'!H22,"")</f>
        <v/>
      </c>
      <c r="R22" s="21">
        <f>IFERROR('3. Monthly'!W22/'3. Monthly'!H22,"")</f>
        <v/>
      </c>
      <c r="S22" s="4">
        <f>IF('3. Monthly'!X22="","",'3. Monthly'!X22)</f>
        <v/>
      </c>
    </row>
    <row r="23">
      <c r="A23" s="4">
        <f>IF('3. Monthly'!A23="","",'3. Monthly'!A23)</f>
        <v/>
      </c>
      <c r="B23" s="20">
        <f>IF('3. Monthly'!A23="","",'3. Monthly'!B23)</f>
        <v/>
      </c>
      <c r="C23" s="4">
        <f>IF('3. Monthly'!A23="","",'3. Monthly'!C23)</f>
        <v/>
      </c>
      <c r="D23" s="21">
        <f>IFERROR('3. Monthly'!D23/'3. Monthly'!E23,"")</f>
        <v/>
      </c>
      <c r="E23" s="21">
        <f>IFERROR('3. Monthly'!F23/'3. Monthly'!G23,"")</f>
        <v/>
      </c>
      <c r="F23" s="21">
        <f>IFERROR('3. Monthly'!H23/'3. Monthly'!I23,"")</f>
        <v/>
      </c>
      <c r="G23" s="4">
        <f>IF('3. Monthly'!J23="","",'3. Monthly'!J23)</f>
        <v/>
      </c>
      <c r="H23" s="4">
        <f>IFERROR('3. Monthly'!K23/'3. Monthly'!L23,"")</f>
        <v/>
      </c>
      <c r="I23" s="21">
        <f>IFERROR('3. Monthly'!M23/'3. Monthly'!K23,"")</f>
        <v/>
      </c>
      <c r="J23" s="4">
        <f>IF('3. Monthly'!N23="","",'3. Monthly'!N23)</f>
        <v/>
      </c>
      <c r="K23" s="21">
        <f>IFERROR(('3. Monthly'!O23-'3. Monthly'!P23)/'3. Monthly'!O23,"")</f>
        <v/>
      </c>
      <c r="L23" s="21">
        <f>IFERROR('3. Monthly'!Q23/'3. Monthly'!G23,"")</f>
        <v/>
      </c>
      <c r="M23" s="21">
        <f>IFERROR('3. Monthly'!R23/'3. Monthly'!F23,"")</f>
        <v/>
      </c>
      <c r="N23" s="21">
        <f>IF('3. Monthly'!S23="","",'3. Monthly'!S23)</f>
        <v/>
      </c>
      <c r="O23" s="4">
        <f>IF('3. Monthly'!T23="","",'3. Monthly'!T23)</f>
        <v/>
      </c>
      <c r="P23" s="21">
        <f>IFERROR('3. Monthly'!U23/'3. Monthly'!H23,"")</f>
        <v/>
      </c>
      <c r="Q23" s="21">
        <f>IFERROR('3. Monthly'!V23/'3. Monthly'!H23,"")</f>
        <v/>
      </c>
      <c r="R23" s="21">
        <f>IFERROR('3. Monthly'!W23/'3. Monthly'!H23,"")</f>
        <v/>
      </c>
      <c r="S23" s="4">
        <f>IF('3. Monthly'!X23="","",'3. Monthly'!X23)</f>
        <v/>
      </c>
    </row>
    <row r="24">
      <c r="A24" s="4">
        <f>IF('3. Monthly'!A24="","",'3. Monthly'!A24)</f>
        <v/>
      </c>
      <c r="B24" s="20">
        <f>IF('3. Monthly'!A24="","",'3. Monthly'!B24)</f>
        <v/>
      </c>
      <c r="C24" s="4">
        <f>IF('3. Monthly'!A24="","",'3. Monthly'!C24)</f>
        <v/>
      </c>
      <c r="D24" s="21">
        <f>IFERROR('3. Monthly'!D24/'3. Monthly'!E24,"")</f>
        <v/>
      </c>
      <c r="E24" s="21">
        <f>IFERROR('3. Monthly'!F24/'3. Monthly'!G24,"")</f>
        <v/>
      </c>
      <c r="F24" s="21">
        <f>IFERROR('3. Monthly'!H24/'3. Monthly'!I24,"")</f>
        <v/>
      </c>
      <c r="G24" s="4">
        <f>IF('3. Monthly'!J24="","",'3. Monthly'!J24)</f>
        <v/>
      </c>
      <c r="H24" s="4">
        <f>IFERROR('3. Monthly'!K24/'3. Monthly'!L24,"")</f>
        <v/>
      </c>
      <c r="I24" s="21">
        <f>IFERROR('3. Monthly'!M24/'3. Monthly'!K24,"")</f>
        <v/>
      </c>
      <c r="J24" s="4">
        <f>IF('3. Monthly'!N24="","",'3. Monthly'!N24)</f>
        <v/>
      </c>
      <c r="K24" s="21">
        <f>IFERROR(('3. Monthly'!O24-'3. Monthly'!P24)/'3. Monthly'!O24,"")</f>
        <v/>
      </c>
      <c r="L24" s="21">
        <f>IFERROR('3. Monthly'!Q24/'3. Monthly'!G24,"")</f>
        <v/>
      </c>
      <c r="M24" s="21">
        <f>IFERROR('3. Monthly'!R24/'3. Monthly'!F24,"")</f>
        <v/>
      </c>
      <c r="N24" s="21">
        <f>IF('3. Monthly'!S24="","",'3. Monthly'!S24)</f>
        <v/>
      </c>
      <c r="O24" s="4">
        <f>IF('3. Monthly'!T24="","",'3. Monthly'!T24)</f>
        <v/>
      </c>
      <c r="P24" s="21">
        <f>IFERROR('3. Monthly'!U24/'3. Monthly'!H24,"")</f>
        <v/>
      </c>
      <c r="Q24" s="21">
        <f>IFERROR('3. Monthly'!V24/'3. Monthly'!H24,"")</f>
        <v/>
      </c>
      <c r="R24" s="21">
        <f>IFERROR('3. Monthly'!W24/'3. Monthly'!H24,"")</f>
        <v/>
      </c>
      <c r="S24" s="4">
        <f>IF('3. Monthly'!X24="","",'3. Monthly'!X24)</f>
        <v/>
      </c>
    </row>
    <row r="25">
      <c r="A25" s="4">
        <f>IF('3. Monthly'!A25="","",'3. Monthly'!A25)</f>
        <v/>
      </c>
      <c r="B25" s="20">
        <f>IF('3. Monthly'!A25="","",'3. Monthly'!B25)</f>
        <v/>
      </c>
      <c r="C25" s="4">
        <f>IF('3. Monthly'!A25="","",'3. Monthly'!C25)</f>
        <v/>
      </c>
      <c r="D25" s="21">
        <f>IFERROR('3. Monthly'!D25/'3. Monthly'!E25,"")</f>
        <v/>
      </c>
      <c r="E25" s="21">
        <f>IFERROR('3. Monthly'!F25/'3. Monthly'!G25,"")</f>
        <v/>
      </c>
      <c r="F25" s="21">
        <f>IFERROR('3. Monthly'!H25/'3. Monthly'!I25,"")</f>
        <v/>
      </c>
      <c r="G25" s="4">
        <f>IF('3. Monthly'!J25="","",'3. Monthly'!J25)</f>
        <v/>
      </c>
      <c r="H25" s="4">
        <f>IFERROR('3. Monthly'!K25/'3. Monthly'!L25,"")</f>
        <v/>
      </c>
      <c r="I25" s="21">
        <f>IFERROR('3. Monthly'!M25/'3. Monthly'!K25,"")</f>
        <v/>
      </c>
      <c r="J25" s="4">
        <f>IF('3. Monthly'!N25="","",'3. Monthly'!N25)</f>
        <v/>
      </c>
      <c r="K25" s="21">
        <f>IFERROR(('3. Monthly'!O25-'3. Monthly'!P25)/'3. Monthly'!O25,"")</f>
        <v/>
      </c>
      <c r="L25" s="21">
        <f>IFERROR('3. Monthly'!Q25/'3. Monthly'!G25,"")</f>
        <v/>
      </c>
      <c r="M25" s="21">
        <f>IFERROR('3. Monthly'!R25/'3. Monthly'!F25,"")</f>
        <v/>
      </c>
      <c r="N25" s="21">
        <f>IF('3. Monthly'!S25="","",'3. Monthly'!S25)</f>
        <v/>
      </c>
      <c r="O25" s="4">
        <f>IF('3. Monthly'!T25="","",'3. Monthly'!T25)</f>
        <v/>
      </c>
      <c r="P25" s="21">
        <f>IFERROR('3. Monthly'!U25/'3. Monthly'!H25,"")</f>
        <v/>
      </c>
      <c r="Q25" s="21">
        <f>IFERROR('3. Monthly'!V25/'3. Monthly'!H25,"")</f>
        <v/>
      </c>
      <c r="R25" s="21">
        <f>IFERROR('3. Monthly'!W25/'3. Monthly'!H25,"")</f>
        <v/>
      </c>
      <c r="S25" s="4">
        <f>IF('3. Monthly'!X25="","",'3. Monthly'!X25)</f>
        <v/>
      </c>
    </row>
    <row r="26">
      <c r="A26" s="4">
        <f>IF('3. Monthly'!A26="","",'3. Monthly'!A26)</f>
        <v/>
      </c>
      <c r="B26" s="20">
        <f>IF('3. Monthly'!A26="","",'3. Monthly'!B26)</f>
        <v/>
      </c>
      <c r="C26" s="4">
        <f>IF('3. Monthly'!A26="","",'3. Monthly'!C26)</f>
        <v/>
      </c>
      <c r="D26" s="21">
        <f>IFERROR('3. Monthly'!D26/'3. Monthly'!E26,"")</f>
        <v/>
      </c>
      <c r="E26" s="21">
        <f>IFERROR('3. Monthly'!F26/'3. Monthly'!G26,"")</f>
        <v/>
      </c>
      <c r="F26" s="21">
        <f>IFERROR('3. Monthly'!H26/'3. Monthly'!I26,"")</f>
        <v/>
      </c>
      <c r="G26" s="4">
        <f>IF('3. Monthly'!J26="","",'3. Monthly'!J26)</f>
        <v/>
      </c>
      <c r="H26" s="4">
        <f>IFERROR('3. Monthly'!K26/'3. Monthly'!L26,"")</f>
        <v/>
      </c>
      <c r="I26" s="21">
        <f>IFERROR('3. Monthly'!M26/'3. Monthly'!K26,"")</f>
        <v/>
      </c>
      <c r="J26" s="4">
        <f>IF('3. Monthly'!N26="","",'3. Monthly'!N26)</f>
        <v/>
      </c>
      <c r="K26" s="21">
        <f>IFERROR(('3. Monthly'!O26-'3. Monthly'!P26)/'3. Monthly'!O26,"")</f>
        <v/>
      </c>
      <c r="L26" s="21">
        <f>IFERROR('3. Monthly'!Q26/'3. Monthly'!G26,"")</f>
        <v/>
      </c>
      <c r="M26" s="21">
        <f>IFERROR('3. Monthly'!R26/'3. Monthly'!F26,"")</f>
        <v/>
      </c>
      <c r="N26" s="21">
        <f>IF('3. Monthly'!S26="","",'3. Monthly'!S26)</f>
        <v/>
      </c>
      <c r="O26" s="4">
        <f>IF('3. Monthly'!T26="","",'3. Monthly'!T26)</f>
        <v/>
      </c>
      <c r="P26" s="21">
        <f>IFERROR('3. Monthly'!U26/'3. Monthly'!H26,"")</f>
        <v/>
      </c>
      <c r="Q26" s="21">
        <f>IFERROR('3. Monthly'!V26/'3. Monthly'!H26,"")</f>
        <v/>
      </c>
      <c r="R26" s="21">
        <f>IFERROR('3. Monthly'!W26/'3. Monthly'!H26,"")</f>
        <v/>
      </c>
      <c r="S26" s="4">
        <f>IF('3. Monthly'!X26="","",'3. Monthly'!X26)</f>
        <v/>
      </c>
    </row>
    <row r="27">
      <c r="A27" s="4">
        <f>IF('3. Monthly'!A27="","",'3. Monthly'!A27)</f>
        <v/>
      </c>
      <c r="B27" s="20">
        <f>IF('3. Monthly'!A27="","",'3. Monthly'!B27)</f>
        <v/>
      </c>
      <c r="C27" s="4">
        <f>IF('3. Monthly'!A27="","",'3. Monthly'!C27)</f>
        <v/>
      </c>
      <c r="D27" s="21">
        <f>IFERROR('3. Monthly'!D27/'3. Monthly'!E27,"")</f>
        <v/>
      </c>
      <c r="E27" s="21">
        <f>IFERROR('3. Monthly'!F27/'3. Monthly'!G27,"")</f>
        <v/>
      </c>
      <c r="F27" s="21">
        <f>IFERROR('3. Monthly'!H27/'3. Monthly'!I27,"")</f>
        <v/>
      </c>
      <c r="G27" s="4">
        <f>IF('3. Monthly'!J27="","",'3. Monthly'!J27)</f>
        <v/>
      </c>
      <c r="H27" s="4">
        <f>IFERROR('3. Monthly'!K27/'3. Monthly'!L27,"")</f>
        <v/>
      </c>
      <c r="I27" s="21">
        <f>IFERROR('3. Monthly'!M27/'3. Monthly'!K27,"")</f>
        <v/>
      </c>
      <c r="J27" s="4">
        <f>IF('3. Monthly'!N27="","",'3. Monthly'!N27)</f>
        <v/>
      </c>
      <c r="K27" s="21">
        <f>IFERROR(('3. Monthly'!O27-'3. Monthly'!P27)/'3. Monthly'!O27,"")</f>
        <v/>
      </c>
      <c r="L27" s="21">
        <f>IFERROR('3. Monthly'!Q27/'3. Monthly'!G27,"")</f>
        <v/>
      </c>
      <c r="M27" s="21">
        <f>IFERROR('3. Monthly'!R27/'3. Monthly'!F27,"")</f>
        <v/>
      </c>
      <c r="N27" s="21">
        <f>IF('3. Monthly'!S27="","",'3. Monthly'!S27)</f>
        <v/>
      </c>
      <c r="O27" s="4">
        <f>IF('3. Monthly'!T27="","",'3. Monthly'!T27)</f>
        <v/>
      </c>
      <c r="P27" s="21">
        <f>IFERROR('3. Monthly'!U27/'3. Monthly'!H27,"")</f>
        <v/>
      </c>
      <c r="Q27" s="21">
        <f>IFERROR('3. Monthly'!V27/'3. Monthly'!H27,"")</f>
        <v/>
      </c>
      <c r="R27" s="21">
        <f>IFERROR('3. Monthly'!W27/'3. Monthly'!H27,"")</f>
        <v/>
      </c>
      <c r="S27" s="4">
        <f>IF('3. Monthly'!X27="","",'3. Monthly'!X27)</f>
        <v/>
      </c>
    </row>
    <row r="28">
      <c r="A28" s="4">
        <f>IF('3. Monthly'!A28="","",'3. Monthly'!A28)</f>
        <v/>
      </c>
      <c r="B28" s="20">
        <f>IF('3. Monthly'!A28="","",'3. Monthly'!B28)</f>
        <v/>
      </c>
      <c r="C28" s="4">
        <f>IF('3. Monthly'!A28="","",'3. Monthly'!C28)</f>
        <v/>
      </c>
      <c r="D28" s="21">
        <f>IFERROR('3. Monthly'!D28/'3. Monthly'!E28,"")</f>
        <v/>
      </c>
      <c r="E28" s="21">
        <f>IFERROR('3. Monthly'!F28/'3. Monthly'!G28,"")</f>
        <v/>
      </c>
      <c r="F28" s="21">
        <f>IFERROR('3. Monthly'!H28/'3. Monthly'!I28,"")</f>
        <v/>
      </c>
      <c r="G28" s="4">
        <f>IF('3. Monthly'!J28="","",'3. Monthly'!J28)</f>
        <v/>
      </c>
      <c r="H28" s="4">
        <f>IFERROR('3. Monthly'!K28/'3. Monthly'!L28,"")</f>
        <v/>
      </c>
      <c r="I28" s="21">
        <f>IFERROR('3. Monthly'!M28/'3. Monthly'!K28,"")</f>
        <v/>
      </c>
      <c r="J28" s="4">
        <f>IF('3. Monthly'!N28="","",'3. Monthly'!N28)</f>
        <v/>
      </c>
      <c r="K28" s="21">
        <f>IFERROR(('3. Monthly'!O28-'3. Monthly'!P28)/'3. Monthly'!O28,"")</f>
        <v/>
      </c>
      <c r="L28" s="21">
        <f>IFERROR('3. Monthly'!Q28/'3. Monthly'!G28,"")</f>
        <v/>
      </c>
      <c r="M28" s="21">
        <f>IFERROR('3. Monthly'!R28/'3. Monthly'!F28,"")</f>
        <v/>
      </c>
      <c r="N28" s="21">
        <f>IF('3. Monthly'!S28="","",'3. Monthly'!S28)</f>
        <v/>
      </c>
      <c r="O28" s="4">
        <f>IF('3. Monthly'!T28="","",'3. Monthly'!T28)</f>
        <v/>
      </c>
      <c r="P28" s="21">
        <f>IFERROR('3. Monthly'!U28/'3. Monthly'!H28,"")</f>
        <v/>
      </c>
      <c r="Q28" s="21">
        <f>IFERROR('3. Monthly'!V28/'3. Monthly'!H28,"")</f>
        <v/>
      </c>
      <c r="R28" s="21">
        <f>IFERROR('3. Monthly'!W28/'3. Monthly'!H28,"")</f>
        <v/>
      </c>
      <c r="S28" s="4">
        <f>IF('3. Monthly'!X28="","",'3. Monthly'!X28)</f>
        <v/>
      </c>
    </row>
    <row r="29">
      <c r="A29" s="4">
        <f>IF('3. Monthly'!A29="","",'3. Monthly'!A29)</f>
        <v/>
      </c>
      <c r="B29" s="20">
        <f>IF('3. Monthly'!A29="","",'3. Monthly'!B29)</f>
        <v/>
      </c>
      <c r="C29" s="4">
        <f>IF('3. Monthly'!A29="","",'3. Monthly'!C29)</f>
        <v/>
      </c>
      <c r="D29" s="21">
        <f>IFERROR('3. Monthly'!D29/'3. Monthly'!E29,"")</f>
        <v/>
      </c>
      <c r="E29" s="21">
        <f>IFERROR('3. Monthly'!F29/'3. Monthly'!G29,"")</f>
        <v/>
      </c>
      <c r="F29" s="21">
        <f>IFERROR('3. Monthly'!H29/'3. Monthly'!I29,"")</f>
        <v/>
      </c>
      <c r="G29" s="4">
        <f>IF('3. Monthly'!J29="","",'3. Monthly'!J29)</f>
        <v/>
      </c>
      <c r="H29" s="4">
        <f>IFERROR('3. Monthly'!K29/'3. Monthly'!L29,"")</f>
        <v/>
      </c>
      <c r="I29" s="21">
        <f>IFERROR('3. Monthly'!M29/'3. Monthly'!K29,"")</f>
        <v/>
      </c>
      <c r="J29" s="4">
        <f>IF('3. Monthly'!N29="","",'3. Monthly'!N29)</f>
        <v/>
      </c>
      <c r="K29" s="21">
        <f>IFERROR(('3. Monthly'!O29-'3. Monthly'!P29)/'3. Monthly'!O29,"")</f>
        <v/>
      </c>
      <c r="L29" s="21">
        <f>IFERROR('3. Monthly'!Q29/'3. Monthly'!G29,"")</f>
        <v/>
      </c>
      <c r="M29" s="21">
        <f>IFERROR('3. Monthly'!R29/'3. Monthly'!F29,"")</f>
        <v/>
      </c>
      <c r="N29" s="21">
        <f>IF('3. Monthly'!S29="","",'3. Monthly'!S29)</f>
        <v/>
      </c>
      <c r="O29" s="4">
        <f>IF('3. Monthly'!T29="","",'3. Monthly'!T29)</f>
        <v/>
      </c>
      <c r="P29" s="21">
        <f>IFERROR('3. Monthly'!U29/'3. Monthly'!H29,"")</f>
        <v/>
      </c>
      <c r="Q29" s="21">
        <f>IFERROR('3. Monthly'!V29/'3. Monthly'!H29,"")</f>
        <v/>
      </c>
      <c r="R29" s="21">
        <f>IFERROR('3. Monthly'!W29/'3. Monthly'!H29,"")</f>
        <v/>
      </c>
      <c r="S29" s="4">
        <f>IF('3. Monthly'!X29="","",'3. Monthly'!X29)</f>
        <v/>
      </c>
    </row>
    <row r="30">
      <c r="A30" s="4">
        <f>IF('3. Monthly'!A30="","",'3. Monthly'!A30)</f>
        <v/>
      </c>
      <c r="B30" s="20">
        <f>IF('3. Monthly'!A30="","",'3. Monthly'!B30)</f>
        <v/>
      </c>
      <c r="C30" s="4">
        <f>IF('3. Monthly'!A30="","",'3. Monthly'!C30)</f>
        <v/>
      </c>
      <c r="D30" s="21">
        <f>IFERROR('3. Monthly'!D30/'3. Monthly'!E30,"")</f>
        <v/>
      </c>
      <c r="E30" s="21">
        <f>IFERROR('3. Monthly'!F30/'3. Monthly'!G30,"")</f>
        <v/>
      </c>
      <c r="F30" s="21">
        <f>IFERROR('3. Monthly'!H30/'3. Monthly'!I30,"")</f>
        <v/>
      </c>
      <c r="G30" s="4">
        <f>IF('3. Monthly'!J30="","",'3. Monthly'!J30)</f>
        <v/>
      </c>
      <c r="H30" s="4">
        <f>IFERROR('3. Monthly'!K30/'3. Monthly'!L30,"")</f>
        <v/>
      </c>
      <c r="I30" s="21">
        <f>IFERROR('3. Monthly'!M30/'3. Monthly'!K30,"")</f>
        <v/>
      </c>
      <c r="J30" s="4">
        <f>IF('3. Monthly'!N30="","",'3. Monthly'!N30)</f>
        <v/>
      </c>
      <c r="K30" s="21">
        <f>IFERROR(('3. Monthly'!O30-'3. Monthly'!P30)/'3. Monthly'!O30,"")</f>
        <v/>
      </c>
      <c r="L30" s="21">
        <f>IFERROR('3. Monthly'!Q30/'3. Monthly'!G30,"")</f>
        <v/>
      </c>
      <c r="M30" s="21">
        <f>IFERROR('3. Monthly'!R30/'3. Monthly'!F30,"")</f>
        <v/>
      </c>
      <c r="N30" s="21">
        <f>IF('3. Monthly'!S30="","",'3. Monthly'!S30)</f>
        <v/>
      </c>
      <c r="O30" s="4">
        <f>IF('3. Monthly'!T30="","",'3. Monthly'!T30)</f>
        <v/>
      </c>
      <c r="P30" s="21">
        <f>IFERROR('3. Monthly'!U30/'3. Monthly'!H30,"")</f>
        <v/>
      </c>
      <c r="Q30" s="21">
        <f>IFERROR('3. Monthly'!V30/'3. Monthly'!H30,"")</f>
        <v/>
      </c>
      <c r="R30" s="21">
        <f>IFERROR('3. Monthly'!W30/'3. Monthly'!H30,"")</f>
        <v/>
      </c>
      <c r="S30" s="4">
        <f>IF('3. Monthly'!X30="","",'3. Monthly'!X30)</f>
        <v/>
      </c>
    </row>
    <row r="31">
      <c r="A31" s="4">
        <f>IF('3. Monthly'!A31="","",'3. Monthly'!A31)</f>
        <v/>
      </c>
      <c r="B31" s="20">
        <f>IF('3. Monthly'!A31="","",'3. Monthly'!B31)</f>
        <v/>
      </c>
      <c r="C31" s="4">
        <f>IF('3. Monthly'!A31="","",'3. Monthly'!C31)</f>
        <v/>
      </c>
      <c r="D31" s="21">
        <f>IFERROR('3. Monthly'!D31/'3. Monthly'!E31,"")</f>
        <v/>
      </c>
      <c r="E31" s="21">
        <f>IFERROR('3. Monthly'!F31/'3. Monthly'!G31,"")</f>
        <v/>
      </c>
      <c r="F31" s="21">
        <f>IFERROR('3. Monthly'!H31/'3. Monthly'!I31,"")</f>
        <v/>
      </c>
      <c r="G31" s="4">
        <f>IF('3. Monthly'!J31="","",'3. Monthly'!J31)</f>
        <v/>
      </c>
      <c r="H31" s="4">
        <f>IFERROR('3. Monthly'!K31/'3. Monthly'!L31,"")</f>
        <v/>
      </c>
      <c r="I31" s="21">
        <f>IFERROR('3. Monthly'!M31/'3. Monthly'!K31,"")</f>
        <v/>
      </c>
      <c r="J31" s="4">
        <f>IF('3. Monthly'!N31="","",'3. Monthly'!N31)</f>
        <v/>
      </c>
      <c r="K31" s="21">
        <f>IFERROR(('3. Monthly'!O31-'3. Monthly'!P31)/'3. Monthly'!O31,"")</f>
        <v/>
      </c>
      <c r="L31" s="21">
        <f>IFERROR('3. Monthly'!Q31/'3. Monthly'!G31,"")</f>
        <v/>
      </c>
      <c r="M31" s="21">
        <f>IFERROR('3. Monthly'!R31/'3. Monthly'!F31,"")</f>
        <v/>
      </c>
      <c r="N31" s="21">
        <f>IF('3. Monthly'!S31="","",'3. Monthly'!S31)</f>
        <v/>
      </c>
      <c r="O31" s="4">
        <f>IF('3. Monthly'!T31="","",'3. Monthly'!T31)</f>
        <v/>
      </c>
      <c r="P31" s="21">
        <f>IFERROR('3. Monthly'!U31/'3. Monthly'!H31,"")</f>
        <v/>
      </c>
      <c r="Q31" s="21">
        <f>IFERROR('3. Monthly'!V31/'3. Monthly'!H31,"")</f>
        <v/>
      </c>
      <c r="R31" s="21">
        <f>IFERROR('3. Monthly'!W31/'3. Monthly'!H31,"")</f>
        <v/>
      </c>
      <c r="S31" s="4">
        <f>IF('3. Monthly'!X31="","",'3. Monthly'!X31)</f>
        <v/>
      </c>
    </row>
    <row r="32">
      <c r="A32" s="4">
        <f>IF('3. Monthly'!A32="","",'3. Monthly'!A32)</f>
        <v/>
      </c>
      <c r="B32" s="20">
        <f>IF('3. Monthly'!A32="","",'3. Monthly'!B32)</f>
        <v/>
      </c>
      <c r="C32" s="4">
        <f>IF('3. Monthly'!A32="","",'3. Monthly'!C32)</f>
        <v/>
      </c>
      <c r="D32" s="21">
        <f>IFERROR('3. Monthly'!D32/'3. Monthly'!E32,"")</f>
        <v/>
      </c>
      <c r="E32" s="21">
        <f>IFERROR('3. Monthly'!F32/'3. Monthly'!G32,"")</f>
        <v/>
      </c>
      <c r="F32" s="21">
        <f>IFERROR('3. Monthly'!H32/'3. Monthly'!I32,"")</f>
        <v/>
      </c>
      <c r="G32" s="4">
        <f>IF('3. Monthly'!J32="","",'3. Monthly'!J32)</f>
        <v/>
      </c>
      <c r="H32" s="4">
        <f>IFERROR('3. Monthly'!K32/'3. Monthly'!L32,"")</f>
        <v/>
      </c>
      <c r="I32" s="21">
        <f>IFERROR('3. Monthly'!M32/'3. Monthly'!K32,"")</f>
        <v/>
      </c>
      <c r="J32" s="4">
        <f>IF('3. Monthly'!N32="","",'3. Monthly'!N32)</f>
        <v/>
      </c>
      <c r="K32" s="21">
        <f>IFERROR(('3. Monthly'!O32-'3. Monthly'!P32)/'3. Monthly'!O32,"")</f>
        <v/>
      </c>
      <c r="L32" s="21">
        <f>IFERROR('3. Monthly'!Q32/'3. Monthly'!G32,"")</f>
        <v/>
      </c>
      <c r="M32" s="21">
        <f>IFERROR('3. Monthly'!R32/'3. Monthly'!F32,"")</f>
        <v/>
      </c>
      <c r="N32" s="21">
        <f>IF('3. Monthly'!S32="","",'3. Monthly'!S32)</f>
        <v/>
      </c>
      <c r="O32" s="4">
        <f>IF('3. Monthly'!T32="","",'3. Monthly'!T32)</f>
        <v/>
      </c>
      <c r="P32" s="21">
        <f>IFERROR('3. Monthly'!U32/'3. Monthly'!H32,"")</f>
        <v/>
      </c>
      <c r="Q32" s="21">
        <f>IFERROR('3. Monthly'!V32/'3. Monthly'!H32,"")</f>
        <v/>
      </c>
      <c r="R32" s="21">
        <f>IFERROR('3. Monthly'!W32/'3. Monthly'!H32,"")</f>
        <v/>
      </c>
      <c r="S32" s="4">
        <f>IF('3. Monthly'!X32="","",'3. Monthly'!X32)</f>
        <v/>
      </c>
    </row>
    <row r="33">
      <c r="A33" s="4">
        <f>IF('3. Monthly'!A33="","",'3. Monthly'!A33)</f>
        <v/>
      </c>
      <c r="B33" s="20">
        <f>IF('3. Monthly'!A33="","",'3. Monthly'!B33)</f>
        <v/>
      </c>
      <c r="C33" s="4">
        <f>IF('3. Monthly'!A33="","",'3. Monthly'!C33)</f>
        <v/>
      </c>
      <c r="D33" s="21">
        <f>IFERROR('3. Monthly'!D33/'3. Monthly'!E33,"")</f>
        <v/>
      </c>
      <c r="E33" s="21">
        <f>IFERROR('3. Monthly'!F33/'3. Monthly'!G33,"")</f>
        <v/>
      </c>
      <c r="F33" s="21">
        <f>IFERROR('3. Monthly'!H33/'3. Monthly'!I33,"")</f>
        <v/>
      </c>
      <c r="G33" s="4">
        <f>IF('3. Monthly'!J33="","",'3. Monthly'!J33)</f>
        <v/>
      </c>
      <c r="H33" s="4">
        <f>IFERROR('3. Monthly'!K33/'3. Monthly'!L33,"")</f>
        <v/>
      </c>
      <c r="I33" s="21">
        <f>IFERROR('3. Monthly'!M33/'3. Monthly'!K33,"")</f>
        <v/>
      </c>
      <c r="J33" s="4">
        <f>IF('3. Monthly'!N33="","",'3. Monthly'!N33)</f>
        <v/>
      </c>
      <c r="K33" s="21">
        <f>IFERROR(('3. Monthly'!O33-'3. Monthly'!P33)/'3. Monthly'!O33,"")</f>
        <v/>
      </c>
      <c r="L33" s="21">
        <f>IFERROR('3. Monthly'!Q33/'3. Monthly'!G33,"")</f>
        <v/>
      </c>
      <c r="M33" s="21">
        <f>IFERROR('3. Monthly'!R33/'3. Monthly'!F33,"")</f>
        <v/>
      </c>
      <c r="N33" s="21">
        <f>IF('3. Monthly'!S33="","",'3. Monthly'!S33)</f>
        <v/>
      </c>
      <c r="O33" s="4">
        <f>IF('3. Monthly'!T33="","",'3. Monthly'!T33)</f>
        <v/>
      </c>
      <c r="P33" s="21">
        <f>IFERROR('3. Monthly'!U33/'3. Monthly'!H33,"")</f>
        <v/>
      </c>
      <c r="Q33" s="21">
        <f>IFERROR('3. Monthly'!V33/'3. Monthly'!H33,"")</f>
        <v/>
      </c>
      <c r="R33" s="21">
        <f>IFERROR('3. Monthly'!W33/'3. Monthly'!H33,"")</f>
        <v/>
      </c>
      <c r="S33" s="4">
        <f>IF('3. Monthly'!X33="","",'3. Monthly'!X33)</f>
        <v/>
      </c>
    </row>
    <row r="34">
      <c r="A34" s="4">
        <f>IF('3. Monthly'!A34="","",'3. Monthly'!A34)</f>
        <v/>
      </c>
      <c r="B34" s="20">
        <f>IF('3. Monthly'!A34="","",'3. Monthly'!B34)</f>
        <v/>
      </c>
      <c r="C34" s="4">
        <f>IF('3. Monthly'!A34="","",'3. Monthly'!C34)</f>
        <v/>
      </c>
      <c r="D34" s="21">
        <f>IFERROR('3. Monthly'!D34/'3. Monthly'!E34,"")</f>
        <v/>
      </c>
      <c r="E34" s="21">
        <f>IFERROR('3. Monthly'!F34/'3. Monthly'!G34,"")</f>
        <v/>
      </c>
      <c r="F34" s="21">
        <f>IFERROR('3. Monthly'!H34/'3. Monthly'!I34,"")</f>
        <v/>
      </c>
      <c r="G34" s="4">
        <f>IF('3. Monthly'!J34="","",'3. Monthly'!J34)</f>
        <v/>
      </c>
      <c r="H34" s="4">
        <f>IFERROR('3. Monthly'!K34/'3. Monthly'!L34,"")</f>
        <v/>
      </c>
      <c r="I34" s="21">
        <f>IFERROR('3. Monthly'!M34/'3. Monthly'!K34,"")</f>
        <v/>
      </c>
      <c r="J34" s="4">
        <f>IF('3. Monthly'!N34="","",'3. Monthly'!N34)</f>
        <v/>
      </c>
      <c r="K34" s="21">
        <f>IFERROR(('3. Monthly'!O34-'3. Monthly'!P34)/'3. Monthly'!O34,"")</f>
        <v/>
      </c>
      <c r="L34" s="21">
        <f>IFERROR('3. Monthly'!Q34/'3. Monthly'!G34,"")</f>
        <v/>
      </c>
      <c r="M34" s="21">
        <f>IFERROR('3. Monthly'!R34/'3. Monthly'!F34,"")</f>
        <v/>
      </c>
      <c r="N34" s="21">
        <f>IF('3. Monthly'!S34="","",'3. Monthly'!S34)</f>
        <v/>
      </c>
      <c r="O34" s="4">
        <f>IF('3. Monthly'!T34="","",'3. Monthly'!T34)</f>
        <v/>
      </c>
      <c r="P34" s="21">
        <f>IFERROR('3. Monthly'!U34/'3. Monthly'!H34,"")</f>
        <v/>
      </c>
      <c r="Q34" s="21">
        <f>IFERROR('3. Monthly'!V34/'3. Monthly'!H34,"")</f>
        <v/>
      </c>
      <c r="R34" s="21">
        <f>IFERROR('3. Monthly'!W34/'3. Monthly'!H34,"")</f>
        <v/>
      </c>
      <c r="S34" s="4">
        <f>IF('3. Monthly'!X34="","",'3. Monthly'!X34)</f>
        <v/>
      </c>
    </row>
    <row r="35">
      <c r="A35" s="4">
        <f>IF('3. Monthly'!A35="","",'3. Monthly'!A35)</f>
        <v/>
      </c>
      <c r="B35" s="20">
        <f>IF('3. Monthly'!A35="","",'3. Monthly'!B35)</f>
        <v/>
      </c>
      <c r="C35" s="4">
        <f>IF('3. Monthly'!A35="","",'3. Monthly'!C35)</f>
        <v/>
      </c>
      <c r="D35" s="21">
        <f>IFERROR('3. Monthly'!D35/'3. Monthly'!E35,"")</f>
        <v/>
      </c>
      <c r="E35" s="21">
        <f>IFERROR('3. Monthly'!F35/'3. Monthly'!G35,"")</f>
        <v/>
      </c>
      <c r="F35" s="21">
        <f>IFERROR('3. Monthly'!H35/'3. Monthly'!I35,"")</f>
        <v/>
      </c>
      <c r="G35" s="4">
        <f>IF('3. Monthly'!J35="","",'3. Monthly'!J35)</f>
        <v/>
      </c>
      <c r="H35" s="4">
        <f>IFERROR('3. Monthly'!K35/'3. Monthly'!L35,"")</f>
        <v/>
      </c>
      <c r="I35" s="21">
        <f>IFERROR('3. Monthly'!M35/'3. Monthly'!K35,"")</f>
        <v/>
      </c>
      <c r="J35" s="4">
        <f>IF('3. Monthly'!N35="","",'3. Monthly'!N35)</f>
        <v/>
      </c>
      <c r="K35" s="21">
        <f>IFERROR(('3. Monthly'!O35-'3. Monthly'!P35)/'3. Monthly'!O35,"")</f>
        <v/>
      </c>
      <c r="L35" s="21">
        <f>IFERROR('3. Monthly'!Q35/'3. Monthly'!G35,"")</f>
        <v/>
      </c>
      <c r="M35" s="21">
        <f>IFERROR('3. Monthly'!R35/'3. Monthly'!F35,"")</f>
        <v/>
      </c>
      <c r="N35" s="21">
        <f>IF('3. Monthly'!S35="","",'3. Monthly'!S35)</f>
        <v/>
      </c>
      <c r="O35" s="4">
        <f>IF('3. Monthly'!T35="","",'3. Monthly'!T35)</f>
        <v/>
      </c>
      <c r="P35" s="21">
        <f>IFERROR('3. Monthly'!U35/'3. Monthly'!H35,"")</f>
        <v/>
      </c>
      <c r="Q35" s="21">
        <f>IFERROR('3. Monthly'!V35/'3. Monthly'!H35,"")</f>
        <v/>
      </c>
      <c r="R35" s="21">
        <f>IFERROR('3. Monthly'!W35/'3. Monthly'!H35,"")</f>
        <v/>
      </c>
      <c r="S35" s="4">
        <f>IF('3. Monthly'!X35="","",'3. Monthly'!X35)</f>
        <v/>
      </c>
    </row>
    <row r="36">
      <c r="A36" s="4">
        <f>IF('3. Monthly'!A36="","",'3. Monthly'!A36)</f>
        <v/>
      </c>
      <c r="B36" s="20">
        <f>IF('3. Monthly'!A36="","",'3. Monthly'!B36)</f>
        <v/>
      </c>
      <c r="C36" s="4">
        <f>IF('3. Monthly'!A36="","",'3. Monthly'!C36)</f>
        <v/>
      </c>
      <c r="D36" s="21">
        <f>IFERROR('3. Monthly'!D36/'3. Monthly'!E36,"")</f>
        <v/>
      </c>
      <c r="E36" s="21">
        <f>IFERROR('3. Monthly'!F36/'3. Monthly'!G36,"")</f>
        <v/>
      </c>
      <c r="F36" s="21">
        <f>IFERROR('3. Monthly'!H36/'3. Monthly'!I36,"")</f>
        <v/>
      </c>
      <c r="G36" s="4">
        <f>IF('3. Monthly'!J36="","",'3. Monthly'!J36)</f>
        <v/>
      </c>
      <c r="H36" s="4">
        <f>IFERROR('3. Monthly'!K36/'3. Monthly'!L36,"")</f>
        <v/>
      </c>
      <c r="I36" s="21">
        <f>IFERROR('3. Monthly'!M36/'3. Monthly'!K36,"")</f>
        <v/>
      </c>
      <c r="J36" s="4">
        <f>IF('3. Monthly'!N36="","",'3. Monthly'!N36)</f>
        <v/>
      </c>
      <c r="K36" s="21">
        <f>IFERROR(('3. Monthly'!O36-'3. Monthly'!P36)/'3. Monthly'!O36,"")</f>
        <v/>
      </c>
      <c r="L36" s="21">
        <f>IFERROR('3. Monthly'!Q36/'3. Monthly'!G36,"")</f>
        <v/>
      </c>
      <c r="M36" s="21">
        <f>IFERROR('3. Monthly'!R36/'3. Monthly'!F36,"")</f>
        <v/>
      </c>
      <c r="N36" s="21">
        <f>IF('3. Monthly'!S36="","",'3. Monthly'!S36)</f>
        <v/>
      </c>
      <c r="O36" s="4">
        <f>IF('3. Monthly'!T36="","",'3. Monthly'!T36)</f>
        <v/>
      </c>
      <c r="P36" s="21">
        <f>IFERROR('3. Monthly'!U36/'3. Monthly'!H36,"")</f>
        <v/>
      </c>
      <c r="Q36" s="21">
        <f>IFERROR('3. Monthly'!V36/'3. Monthly'!H36,"")</f>
        <v/>
      </c>
      <c r="R36" s="21">
        <f>IFERROR('3. Monthly'!W36/'3. Monthly'!H36,"")</f>
        <v/>
      </c>
      <c r="S36" s="4">
        <f>IF('3. Monthly'!X36="","",'3. Monthly'!X36)</f>
        <v/>
      </c>
    </row>
    <row r="37">
      <c r="A37" s="4">
        <f>IF('3. Monthly'!A37="","",'3. Monthly'!A37)</f>
        <v/>
      </c>
      <c r="B37" s="20">
        <f>IF('3. Monthly'!A37="","",'3. Monthly'!B37)</f>
        <v/>
      </c>
      <c r="C37" s="4">
        <f>IF('3. Monthly'!A37="","",'3. Monthly'!C37)</f>
        <v/>
      </c>
      <c r="D37" s="21">
        <f>IFERROR('3. Monthly'!D37/'3. Monthly'!E37,"")</f>
        <v/>
      </c>
      <c r="E37" s="21">
        <f>IFERROR('3. Monthly'!F37/'3. Monthly'!G37,"")</f>
        <v/>
      </c>
      <c r="F37" s="21">
        <f>IFERROR('3. Monthly'!H37/'3. Monthly'!I37,"")</f>
        <v/>
      </c>
      <c r="G37" s="4">
        <f>IF('3. Monthly'!J37="","",'3. Monthly'!J37)</f>
        <v/>
      </c>
      <c r="H37" s="4">
        <f>IFERROR('3. Monthly'!K37/'3. Monthly'!L37,"")</f>
        <v/>
      </c>
      <c r="I37" s="21">
        <f>IFERROR('3. Monthly'!M37/'3. Monthly'!K37,"")</f>
        <v/>
      </c>
      <c r="J37" s="4">
        <f>IF('3. Monthly'!N37="","",'3. Monthly'!N37)</f>
        <v/>
      </c>
      <c r="K37" s="21">
        <f>IFERROR(('3. Monthly'!O37-'3. Monthly'!P37)/'3. Monthly'!O37,"")</f>
        <v/>
      </c>
      <c r="L37" s="21">
        <f>IFERROR('3. Monthly'!Q37/'3. Monthly'!G37,"")</f>
        <v/>
      </c>
      <c r="M37" s="21">
        <f>IFERROR('3. Monthly'!R37/'3. Monthly'!F37,"")</f>
        <v/>
      </c>
      <c r="N37" s="21">
        <f>IF('3. Monthly'!S37="","",'3. Monthly'!S37)</f>
        <v/>
      </c>
      <c r="O37" s="4">
        <f>IF('3. Monthly'!T37="","",'3. Monthly'!T37)</f>
        <v/>
      </c>
      <c r="P37" s="21">
        <f>IFERROR('3. Monthly'!U37/'3. Monthly'!H37,"")</f>
        <v/>
      </c>
      <c r="Q37" s="21">
        <f>IFERROR('3. Monthly'!V37/'3. Monthly'!H37,"")</f>
        <v/>
      </c>
      <c r="R37" s="21">
        <f>IFERROR('3. Monthly'!W37/'3. Monthly'!H37,"")</f>
        <v/>
      </c>
      <c r="S37" s="4">
        <f>IF('3. Monthly'!X37="","",'3. Monthly'!X37)</f>
        <v/>
      </c>
    </row>
    <row r="38">
      <c r="A38" s="4">
        <f>IF('3. Monthly'!A38="","",'3. Monthly'!A38)</f>
        <v/>
      </c>
      <c r="B38" s="20">
        <f>IF('3. Monthly'!A38="","",'3. Monthly'!B38)</f>
        <v/>
      </c>
      <c r="C38" s="4">
        <f>IF('3. Monthly'!A38="","",'3. Monthly'!C38)</f>
        <v/>
      </c>
      <c r="D38" s="21">
        <f>IFERROR('3. Monthly'!D38/'3. Monthly'!E38,"")</f>
        <v/>
      </c>
      <c r="E38" s="21">
        <f>IFERROR('3. Monthly'!F38/'3. Monthly'!G38,"")</f>
        <v/>
      </c>
      <c r="F38" s="21">
        <f>IFERROR('3. Monthly'!H38/'3. Monthly'!I38,"")</f>
        <v/>
      </c>
      <c r="G38" s="4">
        <f>IF('3. Monthly'!J38="","",'3. Monthly'!J38)</f>
        <v/>
      </c>
      <c r="H38" s="4">
        <f>IFERROR('3. Monthly'!K38/'3. Monthly'!L38,"")</f>
        <v/>
      </c>
      <c r="I38" s="21">
        <f>IFERROR('3. Monthly'!M38/'3. Monthly'!K38,"")</f>
        <v/>
      </c>
      <c r="J38" s="4">
        <f>IF('3. Monthly'!N38="","",'3. Monthly'!N38)</f>
        <v/>
      </c>
      <c r="K38" s="21">
        <f>IFERROR(('3. Monthly'!O38-'3. Monthly'!P38)/'3. Monthly'!O38,"")</f>
        <v/>
      </c>
      <c r="L38" s="21">
        <f>IFERROR('3. Monthly'!Q38/'3. Monthly'!G38,"")</f>
        <v/>
      </c>
      <c r="M38" s="21">
        <f>IFERROR('3. Monthly'!R38/'3. Monthly'!F38,"")</f>
        <v/>
      </c>
      <c r="N38" s="21">
        <f>IF('3. Monthly'!S38="","",'3. Monthly'!S38)</f>
        <v/>
      </c>
      <c r="O38" s="4">
        <f>IF('3. Monthly'!T38="","",'3. Monthly'!T38)</f>
        <v/>
      </c>
      <c r="P38" s="21">
        <f>IFERROR('3. Monthly'!U38/'3. Monthly'!H38,"")</f>
        <v/>
      </c>
      <c r="Q38" s="21">
        <f>IFERROR('3. Monthly'!V38/'3. Monthly'!H38,"")</f>
        <v/>
      </c>
      <c r="R38" s="21">
        <f>IFERROR('3. Monthly'!W38/'3. Monthly'!H38,"")</f>
        <v/>
      </c>
      <c r="S38" s="4">
        <f>IF('3. Monthly'!X38="","",'3. Monthly'!X38)</f>
        <v/>
      </c>
    </row>
    <row r="39">
      <c r="A39" s="4">
        <f>IF('3. Monthly'!A39="","",'3. Monthly'!A39)</f>
        <v/>
      </c>
      <c r="B39" s="20">
        <f>IF('3. Monthly'!A39="","",'3. Monthly'!B39)</f>
        <v/>
      </c>
      <c r="C39" s="4">
        <f>IF('3. Monthly'!A39="","",'3. Monthly'!C39)</f>
        <v/>
      </c>
      <c r="D39" s="21">
        <f>IFERROR('3. Monthly'!D39/'3. Monthly'!E39,"")</f>
        <v/>
      </c>
      <c r="E39" s="21">
        <f>IFERROR('3. Monthly'!F39/'3. Monthly'!G39,"")</f>
        <v/>
      </c>
      <c r="F39" s="21">
        <f>IFERROR('3. Monthly'!H39/'3. Monthly'!I39,"")</f>
        <v/>
      </c>
      <c r="G39" s="4">
        <f>IF('3. Monthly'!J39="","",'3. Monthly'!J39)</f>
        <v/>
      </c>
      <c r="H39" s="4">
        <f>IFERROR('3. Monthly'!K39/'3. Monthly'!L39,"")</f>
        <v/>
      </c>
      <c r="I39" s="21">
        <f>IFERROR('3. Monthly'!M39/'3. Monthly'!K39,"")</f>
        <v/>
      </c>
      <c r="J39" s="4">
        <f>IF('3. Monthly'!N39="","",'3. Monthly'!N39)</f>
        <v/>
      </c>
      <c r="K39" s="21">
        <f>IFERROR(('3. Monthly'!O39-'3. Monthly'!P39)/'3. Monthly'!O39,"")</f>
        <v/>
      </c>
      <c r="L39" s="21">
        <f>IFERROR('3. Monthly'!Q39/'3. Monthly'!G39,"")</f>
        <v/>
      </c>
      <c r="M39" s="21">
        <f>IFERROR('3. Monthly'!R39/'3. Monthly'!F39,"")</f>
        <v/>
      </c>
      <c r="N39" s="21">
        <f>IF('3. Monthly'!S39="","",'3. Monthly'!S39)</f>
        <v/>
      </c>
      <c r="O39" s="4">
        <f>IF('3. Monthly'!T39="","",'3. Monthly'!T39)</f>
        <v/>
      </c>
      <c r="P39" s="21">
        <f>IFERROR('3. Monthly'!U39/'3. Monthly'!H39,"")</f>
        <v/>
      </c>
      <c r="Q39" s="21">
        <f>IFERROR('3. Monthly'!V39/'3. Monthly'!H39,"")</f>
        <v/>
      </c>
      <c r="R39" s="21">
        <f>IFERROR('3. Monthly'!W39/'3. Monthly'!H39,"")</f>
        <v/>
      </c>
      <c r="S39" s="4">
        <f>IF('3. Monthly'!X39="","",'3. Monthly'!X39)</f>
        <v/>
      </c>
    </row>
    <row r="40">
      <c r="A40" s="4">
        <f>IF('3. Monthly'!A40="","",'3. Monthly'!A40)</f>
        <v/>
      </c>
      <c r="B40" s="20">
        <f>IF('3. Monthly'!A40="","",'3. Monthly'!B40)</f>
        <v/>
      </c>
      <c r="C40" s="4">
        <f>IF('3. Monthly'!A40="","",'3. Monthly'!C40)</f>
        <v/>
      </c>
      <c r="D40" s="21">
        <f>IFERROR('3. Monthly'!D40/'3. Monthly'!E40,"")</f>
        <v/>
      </c>
      <c r="E40" s="21">
        <f>IFERROR('3. Monthly'!F40/'3. Monthly'!G40,"")</f>
        <v/>
      </c>
      <c r="F40" s="21">
        <f>IFERROR('3. Monthly'!H40/'3. Monthly'!I40,"")</f>
        <v/>
      </c>
      <c r="G40" s="4">
        <f>IF('3. Monthly'!J40="","",'3. Monthly'!J40)</f>
        <v/>
      </c>
      <c r="H40" s="4">
        <f>IFERROR('3. Monthly'!K40/'3. Monthly'!L40,"")</f>
        <v/>
      </c>
      <c r="I40" s="21">
        <f>IFERROR('3. Monthly'!M40/'3. Monthly'!K40,"")</f>
        <v/>
      </c>
      <c r="J40" s="4">
        <f>IF('3. Monthly'!N40="","",'3. Monthly'!N40)</f>
        <v/>
      </c>
      <c r="K40" s="21">
        <f>IFERROR(('3. Monthly'!O40-'3. Monthly'!P40)/'3. Monthly'!O40,"")</f>
        <v/>
      </c>
      <c r="L40" s="21">
        <f>IFERROR('3. Monthly'!Q40/'3. Monthly'!G40,"")</f>
        <v/>
      </c>
      <c r="M40" s="21">
        <f>IFERROR('3. Monthly'!R40/'3. Monthly'!F40,"")</f>
        <v/>
      </c>
      <c r="N40" s="21">
        <f>IF('3. Monthly'!S40="","",'3. Monthly'!S40)</f>
        <v/>
      </c>
      <c r="O40" s="4">
        <f>IF('3. Monthly'!T40="","",'3. Monthly'!T40)</f>
        <v/>
      </c>
      <c r="P40" s="21">
        <f>IFERROR('3. Monthly'!U40/'3. Monthly'!H40,"")</f>
        <v/>
      </c>
      <c r="Q40" s="21">
        <f>IFERROR('3. Monthly'!V40/'3. Monthly'!H40,"")</f>
        <v/>
      </c>
      <c r="R40" s="21">
        <f>IFERROR('3. Monthly'!W40/'3. Monthly'!H40,"")</f>
        <v/>
      </c>
      <c r="S40" s="4">
        <f>IF('3. Monthly'!X40="","",'3. Monthly'!X40)</f>
        <v/>
      </c>
    </row>
    <row r="41">
      <c r="A41" s="4">
        <f>IF('3. Monthly'!A41="","",'3. Monthly'!A41)</f>
        <v/>
      </c>
      <c r="B41" s="20">
        <f>IF('3. Monthly'!A41="","",'3. Monthly'!B41)</f>
        <v/>
      </c>
      <c r="C41" s="4">
        <f>IF('3. Monthly'!A41="","",'3. Monthly'!C41)</f>
        <v/>
      </c>
      <c r="D41" s="21">
        <f>IFERROR('3. Monthly'!D41/'3. Monthly'!E41,"")</f>
        <v/>
      </c>
      <c r="E41" s="21">
        <f>IFERROR('3. Monthly'!F41/'3. Monthly'!G41,"")</f>
        <v/>
      </c>
      <c r="F41" s="21">
        <f>IFERROR('3. Monthly'!H41/'3. Monthly'!I41,"")</f>
        <v/>
      </c>
      <c r="G41" s="4">
        <f>IF('3. Monthly'!J41="","",'3. Monthly'!J41)</f>
        <v/>
      </c>
      <c r="H41" s="4">
        <f>IFERROR('3. Monthly'!K41/'3. Monthly'!L41,"")</f>
        <v/>
      </c>
      <c r="I41" s="21">
        <f>IFERROR('3. Monthly'!M41/'3. Monthly'!K41,"")</f>
        <v/>
      </c>
      <c r="J41" s="4">
        <f>IF('3. Monthly'!N41="","",'3. Monthly'!N41)</f>
        <v/>
      </c>
      <c r="K41" s="21">
        <f>IFERROR(('3. Monthly'!O41-'3. Monthly'!P41)/'3. Monthly'!O41,"")</f>
        <v/>
      </c>
      <c r="L41" s="21">
        <f>IFERROR('3. Monthly'!Q41/'3. Monthly'!G41,"")</f>
        <v/>
      </c>
      <c r="M41" s="21">
        <f>IFERROR('3. Monthly'!R41/'3. Monthly'!F41,"")</f>
        <v/>
      </c>
      <c r="N41" s="21">
        <f>IF('3. Monthly'!S41="","",'3. Monthly'!S41)</f>
        <v/>
      </c>
      <c r="O41" s="4">
        <f>IF('3. Monthly'!T41="","",'3. Monthly'!T41)</f>
        <v/>
      </c>
      <c r="P41" s="21">
        <f>IFERROR('3. Monthly'!U41/'3. Monthly'!H41,"")</f>
        <v/>
      </c>
      <c r="Q41" s="21">
        <f>IFERROR('3. Monthly'!V41/'3. Monthly'!H41,"")</f>
        <v/>
      </c>
      <c r="R41" s="21">
        <f>IFERROR('3. Monthly'!W41/'3. Monthly'!H41,"")</f>
        <v/>
      </c>
      <c r="S41" s="4">
        <f>IF('3. Monthly'!X41="","",'3. Monthly'!X41)</f>
        <v/>
      </c>
    </row>
    <row r="42">
      <c r="A42" s="4">
        <f>IF('3. Monthly'!A42="","",'3. Monthly'!A42)</f>
        <v/>
      </c>
      <c r="B42" s="20">
        <f>IF('3. Monthly'!A42="","",'3. Monthly'!B42)</f>
        <v/>
      </c>
      <c r="C42" s="4">
        <f>IF('3. Monthly'!A42="","",'3. Monthly'!C42)</f>
        <v/>
      </c>
      <c r="D42" s="21">
        <f>IFERROR('3. Monthly'!D42/'3. Monthly'!E42,"")</f>
        <v/>
      </c>
      <c r="E42" s="21">
        <f>IFERROR('3. Monthly'!F42/'3. Monthly'!G42,"")</f>
        <v/>
      </c>
      <c r="F42" s="21">
        <f>IFERROR('3. Monthly'!H42/'3. Monthly'!I42,"")</f>
        <v/>
      </c>
      <c r="G42" s="4">
        <f>IF('3. Monthly'!J42="","",'3. Monthly'!J42)</f>
        <v/>
      </c>
      <c r="H42" s="4">
        <f>IFERROR('3. Monthly'!K42/'3. Monthly'!L42,"")</f>
        <v/>
      </c>
      <c r="I42" s="21">
        <f>IFERROR('3. Monthly'!M42/'3. Monthly'!K42,"")</f>
        <v/>
      </c>
      <c r="J42" s="4">
        <f>IF('3. Monthly'!N42="","",'3. Monthly'!N42)</f>
        <v/>
      </c>
      <c r="K42" s="21">
        <f>IFERROR(('3. Monthly'!O42-'3. Monthly'!P42)/'3. Monthly'!O42,"")</f>
        <v/>
      </c>
      <c r="L42" s="21">
        <f>IFERROR('3. Monthly'!Q42/'3. Monthly'!G42,"")</f>
        <v/>
      </c>
      <c r="M42" s="21">
        <f>IFERROR('3. Monthly'!R42/'3. Monthly'!F42,"")</f>
        <v/>
      </c>
      <c r="N42" s="21">
        <f>IF('3. Monthly'!S42="","",'3. Monthly'!S42)</f>
        <v/>
      </c>
      <c r="O42" s="4">
        <f>IF('3. Monthly'!T42="","",'3. Monthly'!T42)</f>
        <v/>
      </c>
      <c r="P42" s="21">
        <f>IFERROR('3. Monthly'!U42/'3. Monthly'!H42,"")</f>
        <v/>
      </c>
      <c r="Q42" s="21">
        <f>IFERROR('3. Monthly'!V42/'3. Monthly'!H42,"")</f>
        <v/>
      </c>
      <c r="R42" s="21">
        <f>IFERROR('3. Monthly'!W42/'3. Monthly'!H42,"")</f>
        <v/>
      </c>
      <c r="S42" s="4">
        <f>IF('3. Monthly'!X42="","",'3. Monthly'!X42)</f>
        <v/>
      </c>
    </row>
    <row r="43">
      <c r="A43" s="4">
        <f>IF('3. Monthly'!A43="","",'3. Monthly'!A43)</f>
        <v/>
      </c>
      <c r="B43" s="20">
        <f>IF('3. Monthly'!A43="","",'3. Monthly'!B43)</f>
        <v/>
      </c>
      <c r="C43" s="4">
        <f>IF('3. Monthly'!A43="","",'3. Monthly'!C43)</f>
        <v/>
      </c>
      <c r="D43" s="21">
        <f>IFERROR('3. Monthly'!D43/'3. Monthly'!E43,"")</f>
        <v/>
      </c>
      <c r="E43" s="21">
        <f>IFERROR('3. Monthly'!F43/'3. Monthly'!G43,"")</f>
        <v/>
      </c>
      <c r="F43" s="21">
        <f>IFERROR('3. Monthly'!H43/'3. Monthly'!I43,"")</f>
        <v/>
      </c>
      <c r="G43" s="4">
        <f>IF('3. Monthly'!J43="","",'3. Monthly'!J43)</f>
        <v/>
      </c>
      <c r="H43" s="4">
        <f>IFERROR('3. Monthly'!K43/'3. Monthly'!L43,"")</f>
        <v/>
      </c>
      <c r="I43" s="21">
        <f>IFERROR('3. Monthly'!M43/'3. Monthly'!K43,"")</f>
        <v/>
      </c>
      <c r="J43" s="4">
        <f>IF('3. Monthly'!N43="","",'3. Monthly'!N43)</f>
        <v/>
      </c>
      <c r="K43" s="21">
        <f>IFERROR(('3. Monthly'!O43-'3. Monthly'!P43)/'3. Monthly'!O43,"")</f>
        <v/>
      </c>
      <c r="L43" s="21">
        <f>IFERROR('3. Monthly'!Q43/'3. Monthly'!G43,"")</f>
        <v/>
      </c>
      <c r="M43" s="21">
        <f>IFERROR('3. Monthly'!R43/'3. Monthly'!F43,"")</f>
        <v/>
      </c>
      <c r="N43" s="21">
        <f>IF('3. Monthly'!S43="","",'3. Monthly'!S43)</f>
        <v/>
      </c>
      <c r="O43" s="4">
        <f>IF('3. Monthly'!T43="","",'3. Monthly'!T43)</f>
        <v/>
      </c>
      <c r="P43" s="21">
        <f>IFERROR('3. Monthly'!U43/'3. Monthly'!H43,"")</f>
        <v/>
      </c>
      <c r="Q43" s="21">
        <f>IFERROR('3. Monthly'!V43/'3. Monthly'!H43,"")</f>
        <v/>
      </c>
      <c r="R43" s="21">
        <f>IFERROR('3. Monthly'!W43/'3. Monthly'!H43,"")</f>
        <v/>
      </c>
      <c r="S43" s="4">
        <f>IF('3. Monthly'!X43="","",'3. Monthly'!X43)</f>
        <v/>
      </c>
    </row>
    <row r="44">
      <c r="A44" s="4">
        <f>IF('3. Monthly'!A44="","",'3. Monthly'!A44)</f>
        <v/>
      </c>
      <c r="B44" s="20">
        <f>IF('3. Monthly'!A44="","",'3. Monthly'!B44)</f>
        <v/>
      </c>
      <c r="C44" s="4">
        <f>IF('3. Monthly'!A44="","",'3. Monthly'!C44)</f>
        <v/>
      </c>
      <c r="D44" s="21">
        <f>IFERROR('3. Monthly'!D44/'3. Monthly'!E44,"")</f>
        <v/>
      </c>
      <c r="E44" s="21">
        <f>IFERROR('3. Monthly'!F44/'3. Monthly'!G44,"")</f>
        <v/>
      </c>
      <c r="F44" s="21">
        <f>IFERROR('3. Monthly'!H44/'3. Monthly'!I44,"")</f>
        <v/>
      </c>
      <c r="G44" s="4">
        <f>IF('3. Monthly'!J44="","",'3. Monthly'!J44)</f>
        <v/>
      </c>
      <c r="H44" s="4">
        <f>IFERROR('3. Monthly'!K44/'3. Monthly'!L44,"")</f>
        <v/>
      </c>
      <c r="I44" s="21">
        <f>IFERROR('3. Monthly'!M44/'3. Monthly'!K44,"")</f>
        <v/>
      </c>
      <c r="J44" s="4">
        <f>IF('3. Monthly'!N44="","",'3. Monthly'!N44)</f>
        <v/>
      </c>
      <c r="K44" s="21">
        <f>IFERROR(('3. Monthly'!O44-'3. Monthly'!P44)/'3. Monthly'!O44,"")</f>
        <v/>
      </c>
      <c r="L44" s="21">
        <f>IFERROR('3. Monthly'!Q44/'3. Monthly'!G44,"")</f>
        <v/>
      </c>
      <c r="M44" s="21">
        <f>IFERROR('3. Monthly'!R44/'3. Monthly'!F44,"")</f>
        <v/>
      </c>
      <c r="N44" s="21">
        <f>IF('3. Monthly'!S44="","",'3. Monthly'!S44)</f>
        <v/>
      </c>
      <c r="O44" s="4">
        <f>IF('3. Monthly'!T44="","",'3. Monthly'!T44)</f>
        <v/>
      </c>
      <c r="P44" s="21">
        <f>IFERROR('3. Monthly'!U44/'3. Monthly'!H44,"")</f>
        <v/>
      </c>
      <c r="Q44" s="21">
        <f>IFERROR('3. Monthly'!V44/'3. Monthly'!H44,"")</f>
        <v/>
      </c>
      <c r="R44" s="21">
        <f>IFERROR('3. Monthly'!W44/'3. Monthly'!H44,"")</f>
        <v/>
      </c>
      <c r="S44" s="4">
        <f>IF('3. Monthly'!X44="","",'3. Monthly'!X44)</f>
        <v/>
      </c>
    </row>
    <row r="45">
      <c r="A45" s="4">
        <f>IF('3. Monthly'!A45="","",'3. Monthly'!A45)</f>
        <v/>
      </c>
      <c r="B45" s="20">
        <f>IF('3. Monthly'!A45="","",'3. Monthly'!B45)</f>
        <v/>
      </c>
      <c r="C45" s="4">
        <f>IF('3. Monthly'!A45="","",'3. Monthly'!C45)</f>
        <v/>
      </c>
      <c r="D45" s="21">
        <f>IFERROR('3. Monthly'!D45/'3. Monthly'!E45,"")</f>
        <v/>
      </c>
      <c r="E45" s="21">
        <f>IFERROR('3. Monthly'!F45/'3. Monthly'!G45,"")</f>
        <v/>
      </c>
      <c r="F45" s="21">
        <f>IFERROR('3. Monthly'!H45/'3. Monthly'!I45,"")</f>
        <v/>
      </c>
      <c r="G45" s="4">
        <f>IF('3. Monthly'!J45="","",'3. Monthly'!J45)</f>
        <v/>
      </c>
      <c r="H45" s="4">
        <f>IFERROR('3. Monthly'!K45/'3. Monthly'!L45,"")</f>
        <v/>
      </c>
      <c r="I45" s="21">
        <f>IFERROR('3. Monthly'!M45/'3. Monthly'!K45,"")</f>
        <v/>
      </c>
      <c r="J45" s="4">
        <f>IF('3. Monthly'!N45="","",'3. Monthly'!N45)</f>
        <v/>
      </c>
      <c r="K45" s="21">
        <f>IFERROR(('3. Monthly'!O45-'3. Monthly'!P45)/'3. Monthly'!O45,"")</f>
        <v/>
      </c>
      <c r="L45" s="21">
        <f>IFERROR('3. Monthly'!Q45/'3. Monthly'!G45,"")</f>
        <v/>
      </c>
      <c r="M45" s="21">
        <f>IFERROR('3. Monthly'!R45/'3. Monthly'!F45,"")</f>
        <v/>
      </c>
      <c r="N45" s="21">
        <f>IF('3. Monthly'!S45="","",'3. Monthly'!S45)</f>
        <v/>
      </c>
      <c r="O45" s="4">
        <f>IF('3. Monthly'!T45="","",'3. Monthly'!T45)</f>
        <v/>
      </c>
      <c r="P45" s="21">
        <f>IFERROR('3. Monthly'!U45/'3. Monthly'!H45,"")</f>
        <v/>
      </c>
      <c r="Q45" s="21">
        <f>IFERROR('3. Monthly'!V45/'3. Monthly'!H45,"")</f>
        <v/>
      </c>
      <c r="R45" s="21">
        <f>IFERROR('3. Monthly'!W45/'3. Monthly'!H45,"")</f>
        <v/>
      </c>
      <c r="S45" s="4">
        <f>IF('3. Monthly'!X45="","",'3. Monthly'!X45)</f>
        <v/>
      </c>
    </row>
    <row r="46">
      <c r="A46" s="4">
        <f>IF('3. Monthly'!A46="","",'3. Monthly'!A46)</f>
        <v/>
      </c>
      <c r="B46" s="20">
        <f>IF('3. Monthly'!A46="","",'3. Monthly'!B46)</f>
        <v/>
      </c>
      <c r="C46" s="4">
        <f>IF('3. Monthly'!A46="","",'3. Monthly'!C46)</f>
        <v/>
      </c>
      <c r="D46" s="21">
        <f>IFERROR('3. Monthly'!D46/'3. Monthly'!E46,"")</f>
        <v/>
      </c>
      <c r="E46" s="21">
        <f>IFERROR('3. Monthly'!F46/'3. Monthly'!G46,"")</f>
        <v/>
      </c>
      <c r="F46" s="21">
        <f>IFERROR('3. Monthly'!H46/'3. Monthly'!I46,"")</f>
        <v/>
      </c>
      <c r="G46" s="4">
        <f>IF('3. Monthly'!J46="","",'3. Monthly'!J46)</f>
        <v/>
      </c>
      <c r="H46" s="4">
        <f>IFERROR('3. Monthly'!K46/'3. Monthly'!L46,"")</f>
        <v/>
      </c>
      <c r="I46" s="21">
        <f>IFERROR('3. Monthly'!M46/'3. Monthly'!K46,"")</f>
        <v/>
      </c>
      <c r="J46" s="4">
        <f>IF('3. Monthly'!N46="","",'3. Monthly'!N46)</f>
        <v/>
      </c>
      <c r="K46" s="21">
        <f>IFERROR(('3. Monthly'!O46-'3. Monthly'!P46)/'3. Monthly'!O46,"")</f>
        <v/>
      </c>
      <c r="L46" s="21">
        <f>IFERROR('3. Monthly'!Q46/'3. Monthly'!G46,"")</f>
        <v/>
      </c>
      <c r="M46" s="21">
        <f>IFERROR('3. Monthly'!R46/'3. Monthly'!F46,"")</f>
        <v/>
      </c>
      <c r="N46" s="21">
        <f>IF('3. Monthly'!S46="","",'3. Monthly'!S46)</f>
        <v/>
      </c>
      <c r="O46" s="4">
        <f>IF('3. Monthly'!T46="","",'3. Monthly'!T46)</f>
        <v/>
      </c>
      <c r="P46" s="21">
        <f>IFERROR('3. Monthly'!U46/'3. Monthly'!H46,"")</f>
        <v/>
      </c>
      <c r="Q46" s="21">
        <f>IFERROR('3. Monthly'!V46/'3. Monthly'!H46,"")</f>
        <v/>
      </c>
      <c r="R46" s="21">
        <f>IFERROR('3. Monthly'!W46/'3. Monthly'!H46,"")</f>
        <v/>
      </c>
      <c r="S46" s="4">
        <f>IF('3. Monthly'!X46="","",'3. Monthly'!X46)</f>
        <v/>
      </c>
    </row>
    <row r="47">
      <c r="A47" s="4">
        <f>IF('3. Monthly'!A47="","",'3. Monthly'!A47)</f>
        <v/>
      </c>
      <c r="B47" s="20">
        <f>IF('3. Monthly'!A47="","",'3. Monthly'!B47)</f>
        <v/>
      </c>
      <c r="C47" s="4">
        <f>IF('3. Monthly'!A47="","",'3. Monthly'!C47)</f>
        <v/>
      </c>
      <c r="D47" s="21">
        <f>IFERROR('3. Monthly'!D47/'3. Monthly'!E47,"")</f>
        <v/>
      </c>
      <c r="E47" s="21">
        <f>IFERROR('3. Monthly'!F47/'3. Monthly'!G47,"")</f>
        <v/>
      </c>
      <c r="F47" s="21">
        <f>IFERROR('3. Monthly'!H47/'3. Monthly'!I47,"")</f>
        <v/>
      </c>
      <c r="G47" s="4">
        <f>IF('3. Monthly'!J47="","",'3. Monthly'!J47)</f>
        <v/>
      </c>
      <c r="H47" s="4">
        <f>IFERROR('3. Monthly'!K47/'3. Monthly'!L47,"")</f>
        <v/>
      </c>
      <c r="I47" s="21">
        <f>IFERROR('3. Monthly'!M47/'3. Monthly'!K47,"")</f>
        <v/>
      </c>
      <c r="J47" s="4">
        <f>IF('3. Monthly'!N47="","",'3. Monthly'!N47)</f>
        <v/>
      </c>
      <c r="K47" s="21">
        <f>IFERROR(('3. Monthly'!O47-'3. Monthly'!P47)/'3. Monthly'!O47,"")</f>
        <v/>
      </c>
      <c r="L47" s="21">
        <f>IFERROR('3. Monthly'!Q47/'3. Monthly'!G47,"")</f>
        <v/>
      </c>
      <c r="M47" s="21">
        <f>IFERROR('3. Monthly'!R47/'3. Monthly'!F47,"")</f>
        <v/>
      </c>
      <c r="N47" s="21">
        <f>IF('3. Monthly'!S47="","",'3. Monthly'!S47)</f>
        <v/>
      </c>
      <c r="O47" s="4">
        <f>IF('3. Monthly'!T47="","",'3. Monthly'!T47)</f>
        <v/>
      </c>
      <c r="P47" s="21">
        <f>IFERROR('3. Monthly'!U47/'3. Monthly'!H47,"")</f>
        <v/>
      </c>
      <c r="Q47" s="21">
        <f>IFERROR('3. Monthly'!V47/'3. Monthly'!H47,"")</f>
        <v/>
      </c>
      <c r="R47" s="21">
        <f>IFERROR('3. Monthly'!W47/'3. Monthly'!H47,"")</f>
        <v/>
      </c>
      <c r="S47" s="4">
        <f>IF('3. Monthly'!X47="","",'3. Monthly'!X47)</f>
        <v/>
      </c>
    </row>
    <row r="48">
      <c r="A48" s="4">
        <f>IF('3. Monthly'!A48="","",'3. Monthly'!A48)</f>
        <v/>
      </c>
      <c r="B48" s="20">
        <f>IF('3. Monthly'!A48="","",'3. Monthly'!B48)</f>
        <v/>
      </c>
      <c r="C48" s="4">
        <f>IF('3. Monthly'!A48="","",'3. Monthly'!C48)</f>
        <v/>
      </c>
      <c r="D48" s="21">
        <f>IFERROR('3. Monthly'!D48/'3. Monthly'!E48,"")</f>
        <v/>
      </c>
      <c r="E48" s="21">
        <f>IFERROR('3. Monthly'!F48/'3. Monthly'!G48,"")</f>
        <v/>
      </c>
      <c r="F48" s="21">
        <f>IFERROR('3. Monthly'!H48/'3. Monthly'!I48,"")</f>
        <v/>
      </c>
      <c r="G48" s="4">
        <f>IF('3. Monthly'!J48="","",'3. Monthly'!J48)</f>
        <v/>
      </c>
      <c r="H48" s="4">
        <f>IFERROR('3. Monthly'!K48/'3. Monthly'!L48,"")</f>
        <v/>
      </c>
      <c r="I48" s="21">
        <f>IFERROR('3. Monthly'!M48/'3. Monthly'!K48,"")</f>
        <v/>
      </c>
      <c r="J48" s="4">
        <f>IF('3. Monthly'!N48="","",'3. Monthly'!N48)</f>
        <v/>
      </c>
      <c r="K48" s="21">
        <f>IFERROR(('3. Monthly'!O48-'3. Monthly'!P48)/'3. Monthly'!O48,"")</f>
        <v/>
      </c>
      <c r="L48" s="21">
        <f>IFERROR('3. Monthly'!Q48/'3. Monthly'!G48,"")</f>
        <v/>
      </c>
      <c r="M48" s="21">
        <f>IFERROR('3. Monthly'!R48/'3. Monthly'!F48,"")</f>
        <v/>
      </c>
      <c r="N48" s="21">
        <f>IF('3. Monthly'!S48="","",'3. Monthly'!S48)</f>
        <v/>
      </c>
      <c r="O48" s="4">
        <f>IF('3. Monthly'!T48="","",'3. Monthly'!T48)</f>
        <v/>
      </c>
      <c r="P48" s="21">
        <f>IFERROR('3. Monthly'!U48/'3. Monthly'!H48,"")</f>
        <v/>
      </c>
      <c r="Q48" s="21">
        <f>IFERROR('3. Monthly'!V48/'3. Monthly'!H48,"")</f>
        <v/>
      </c>
      <c r="R48" s="21">
        <f>IFERROR('3. Monthly'!W48/'3. Monthly'!H48,"")</f>
        <v/>
      </c>
      <c r="S48" s="4">
        <f>IF('3. Monthly'!X48="","",'3. Monthly'!X48)</f>
        <v/>
      </c>
    </row>
    <row r="49">
      <c r="A49" s="4">
        <f>IF('3. Monthly'!A49="","",'3. Monthly'!A49)</f>
        <v/>
      </c>
      <c r="B49" s="20">
        <f>IF('3. Monthly'!A49="","",'3. Monthly'!B49)</f>
        <v/>
      </c>
      <c r="C49" s="4">
        <f>IF('3. Monthly'!A49="","",'3. Monthly'!C49)</f>
        <v/>
      </c>
      <c r="D49" s="21">
        <f>IFERROR('3. Monthly'!D49/'3. Monthly'!E49,"")</f>
        <v/>
      </c>
      <c r="E49" s="21">
        <f>IFERROR('3. Monthly'!F49/'3. Monthly'!G49,"")</f>
        <v/>
      </c>
      <c r="F49" s="21">
        <f>IFERROR('3. Monthly'!H49/'3. Monthly'!I49,"")</f>
        <v/>
      </c>
      <c r="G49" s="4">
        <f>IF('3. Monthly'!J49="","",'3. Monthly'!J49)</f>
        <v/>
      </c>
      <c r="H49" s="4">
        <f>IFERROR('3. Monthly'!K49/'3. Monthly'!L49,"")</f>
        <v/>
      </c>
      <c r="I49" s="21">
        <f>IFERROR('3. Monthly'!M49/'3. Monthly'!K49,"")</f>
        <v/>
      </c>
      <c r="J49" s="4">
        <f>IF('3. Monthly'!N49="","",'3. Monthly'!N49)</f>
        <v/>
      </c>
      <c r="K49" s="21">
        <f>IFERROR(('3. Monthly'!O49-'3. Monthly'!P49)/'3. Monthly'!O49,"")</f>
        <v/>
      </c>
      <c r="L49" s="21">
        <f>IFERROR('3. Monthly'!Q49/'3. Monthly'!G49,"")</f>
        <v/>
      </c>
      <c r="M49" s="21">
        <f>IFERROR('3. Monthly'!R49/'3. Monthly'!F49,"")</f>
        <v/>
      </c>
      <c r="N49" s="21">
        <f>IF('3. Monthly'!S49="","",'3. Monthly'!S49)</f>
        <v/>
      </c>
      <c r="O49" s="4">
        <f>IF('3. Monthly'!T49="","",'3. Monthly'!T49)</f>
        <v/>
      </c>
      <c r="P49" s="21">
        <f>IFERROR('3. Monthly'!U49/'3. Monthly'!H49,"")</f>
        <v/>
      </c>
      <c r="Q49" s="21">
        <f>IFERROR('3. Monthly'!V49/'3. Monthly'!H49,"")</f>
        <v/>
      </c>
      <c r="R49" s="21">
        <f>IFERROR('3. Monthly'!W49/'3. Monthly'!H49,"")</f>
        <v/>
      </c>
      <c r="S49" s="4">
        <f>IF('3. Monthly'!X49="","",'3. Monthly'!X49)</f>
        <v/>
      </c>
    </row>
    <row r="50">
      <c r="A50" s="4">
        <f>IF('3. Monthly'!A50="","",'3. Monthly'!A50)</f>
        <v/>
      </c>
      <c r="B50" s="20">
        <f>IF('3. Monthly'!A50="","",'3. Monthly'!B50)</f>
        <v/>
      </c>
      <c r="C50" s="4">
        <f>IF('3. Monthly'!A50="","",'3. Monthly'!C50)</f>
        <v/>
      </c>
      <c r="D50" s="21">
        <f>IFERROR('3. Monthly'!D50/'3. Monthly'!E50,"")</f>
        <v/>
      </c>
      <c r="E50" s="21">
        <f>IFERROR('3. Monthly'!F50/'3. Monthly'!G50,"")</f>
        <v/>
      </c>
      <c r="F50" s="21">
        <f>IFERROR('3. Monthly'!H50/'3. Monthly'!I50,"")</f>
        <v/>
      </c>
      <c r="G50" s="4">
        <f>IF('3. Monthly'!J50="","",'3. Monthly'!J50)</f>
        <v/>
      </c>
      <c r="H50" s="4">
        <f>IFERROR('3. Monthly'!K50/'3. Monthly'!L50,"")</f>
        <v/>
      </c>
      <c r="I50" s="21">
        <f>IFERROR('3. Monthly'!M50/'3. Monthly'!K50,"")</f>
        <v/>
      </c>
      <c r="J50" s="4">
        <f>IF('3. Monthly'!N50="","",'3. Monthly'!N50)</f>
        <v/>
      </c>
      <c r="K50" s="21">
        <f>IFERROR(('3. Monthly'!O50-'3. Monthly'!P50)/'3. Monthly'!O50,"")</f>
        <v/>
      </c>
      <c r="L50" s="21">
        <f>IFERROR('3. Monthly'!Q50/'3. Monthly'!G50,"")</f>
        <v/>
      </c>
      <c r="M50" s="21">
        <f>IFERROR('3. Monthly'!R50/'3. Monthly'!F50,"")</f>
        <v/>
      </c>
      <c r="N50" s="21">
        <f>IF('3. Monthly'!S50="","",'3. Monthly'!S50)</f>
        <v/>
      </c>
      <c r="O50" s="4">
        <f>IF('3. Monthly'!T50="","",'3. Monthly'!T50)</f>
        <v/>
      </c>
      <c r="P50" s="21">
        <f>IFERROR('3. Monthly'!U50/'3. Monthly'!H50,"")</f>
        <v/>
      </c>
      <c r="Q50" s="21">
        <f>IFERROR('3. Monthly'!V50/'3. Monthly'!H50,"")</f>
        <v/>
      </c>
      <c r="R50" s="21">
        <f>IFERROR('3. Monthly'!W50/'3. Monthly'!H50,"")</f>
        <v/>
      </c>
      <c r="S50" s="4">
        <f>IF('3. Monthly'!X50="","",'3. Monthly'!X50)</f>
        <v/>
      </c>
    </row>
    <row r="51">
      <c r="A51" s="4">
        <f>IF('3. Monthly'!A51="","",'3. Monthly'!A51)</f>
        <v/>
      </c>
      <c r="B51" s="20">
        <f>IF('3. Monthly'!A51="","",'3. Monthly'!B51)</f>
        <v/>
      </c>
      <c r="C51" s="4">
        <f>IF('3. Monthly'!A51="","",'3. Monthly'!C51)</f>
        <v/>
      </c>
      <c r="D51" s="21">
        <f>IFERROR('3. Monthly'!D51/'3. Monthly'!E51,"")</f>
        <v/>
      </c>
      <c r="E51" s="21">
        <f>IFERROR('3. Monthly'!F51/'3. Monthly'!G51,"")</f>
        <v/>
      </c>
      <c r="F51" s="21">
        <f>IFERROR('3. Monthly'!H51/'3. Monthly'!I51,"")</f>
        <v/>
      </c>
      <c r="G51" s="4">
        <f>IF('3. Monthly'!J51="","",'3. Monthly'!J51)</f>
        <v/>
      </c>
      <c r="H51" s="4">
        <f>IFERROR('3. Monthly'!K51/'3. Monthly'!L51,"")</f>
        <v/>
      </c>
      <c r="I51" s="21">
        <f>IFERROR('3. Monthly'!M51/'3. Monthly'!K51,"")</f>
        <v/>
      </c>
      <c r="J51" s="4">
        <f>IF('3. Monthly'!N51="","",'3. Monthly'!N51)</f>
        <v/>
      </c>
      <c r="K51" s="21">
        <f>IFERROR(('3. Monthly'!O51-'3. Monthly'!P51)/'3. Monthly'!O51,"")</f>
        <v/>
      </c>
      <c r="L51" s="21">
        <f>IFERROR('3. Monthly'!Q51/'3. Monthly'!G51,"")</f>
        <v/>
      </c>
      <c r="M51" s="21">
        <f>IFERROR('3. Monthly'!R51/'3. Monthly'!F51,"")</f>
        <v/>
      </c>
      <c r="N51" s="21">
        <f>IF('3. Monthly'!S51="","",'3. Monthly'!S51)</f>
        <v/>
      </c>
      <c r="O51" s="4">
        <f>IF('3. Monthly'!T51="","",'3. Monthly'!T51)</f>
        <v/>
      </c>
      <c r="P51" s="21">
        <f>IFERROR('3. Monthly'!U51/'3. Monthly'!H51,"")</f>
        <v/>
      </c>
      <c r="Q51" s="21">
        <f>IFERROR('3. Monthly'!V51/'3. Monthly'!H51,"")</f>
        <v/>
      </c>
      <c r="R51" s="21">
        <f>IFERROR('3. Monthly'!W51/'3. Monthly'!H51,"")</f>
        <v/>
      </c>
      <c r="S51" s="4">
        <f>IF('3. Monthly'!X51="","",'3. Monthly'!X51)</f>
        <v/>
      </c>
    </row>
    <row r="52">
      <c r="A52" s="4">
        <f>IF('3. Monthly'!A52="","",'3. Monthly'!A52)</f>
        <v/>
      </c>
      <c r="B52" s="20">
        <f>IF('3. Monthly'!A52="","",'3. Monthly'!B52)</f>
        <v/>
      </c>
      <c r="C52" s="4">
        <f>IF('3. Monthly'!A52="","",'3. Monthly'!C52)</f>
        <v/>
      </c>
      <c r="D52" s="21">
        <f>IFERROR('3. Monthly'!D52/'3. Monthly'!E52,"")</f>
        <v/>
      </c>
      <c r="E52" s="21">
        <f>IFERROR('3. Monthly'!F52/'3. Monthly'!G52,"")</f>
        <v/>
      </c>
      <c r="F52" s="21">
        <f>IFERROR('3. Monthly'!H52/'3. Monthly'!I52,"")</f>
        <v/>
      </c>
      <c r="G52" s="4">
        <f>IF('3. Monthly'!J52="","",'3. Monthly'!J52)</f>
        <v/>
      </c>
      <c r="H52" s="4">
        <f>IFERROR('3. Monthly'!K52/'3. Monthly'!L52,"")</f>
        <v/>
      </c>
      <c r="I52" s="21">
        <f>IFERROR('3. Monthly'!M52/'3. Monthly'!K52,"")</f>
        <v/>
      </c>
      <c r="J52" s="4">
        <f>IF('3. Monthly'!N52="","",'3. Monthly'!N52)</f>
        <v/>
      </c>
      <c r="K52" s="21">
        <f>IFERROR(('3. Monthly'!O52-'3. Monthly'!P52)/'3. Monthly'!O52,"")</f>
        <v/>
      </c>
      <c r="L52" s="21">
        <f>IFERROR('3. Monthly'!Q52/'3. Monthly'!G52,"")</f>
        <v/>
      </c>
      <c r="M52" s="21">
        <f>IFERROR('3. Monthly'!R52/'3. Monthly'!F52,"")</f>
        <v/>
      </c>
      <c r="N52" s="21">
        <f>IF('3. Monthly'!S52="","",'3. Monthly'!S52)</f>
        <v/>
      </c>
      <c r="O52" s="4">
        <f>IF('3. Monthly'!T52="","",'3. Monthly'!T52)</f>
        <v/>
      </c>
      <c r="P52" s="21">
        <f>IFERROR('3. Monthly'!U52/'3. Monthly'!H52,"")</f>
        <v/>
      </c>
      <c r="Q52" s="21">
        <f>IFERROR('3. Monthly'!V52/'3. Monthly'!H52,"")</f>
        <v/>
      </c>
      <c r="R52" s="21">
        <f>IFERROR('3. Monthly'!W52/'3. Monthly'!H52,"")</f>
        <v/>
      </c>
      <c r="S52" s="4">
        <f>IF('3. Monthly'!X52="","",'3. Monthly'!X52)</f>
        <v/>
      </c>
    </row>
    <row r="53">
      <c r="A53" s="4">
        <f>IF('3. Monthly'!A53="","",'3. Monthly'!A53)</f>
        <v/>
      </c>
      <c r="B53" s="20">
        <f>IF('3. Monthly'!A53="","",'3. Monthly'!B53)</f>
        <v/>
      </c>
      <c r="C53" s="4">
        <f>IF('3. Monthly'!A53="","",'3. Monthly'!C53)</f>
        <v/>
      </c>
      <c r="D53" s="21">
        <f>IFERROR('3. Monthly'!D53/'3. Monthly'!E53,"")</f>
        <v/>
      </c>
      <c r="E53" s="21">
        <f>IFERROR('3. Monthly'!F53/'3. Monthly'!G53,"")</f>
        <v/>
      </c>
      <c r="F53" s="21">
        <f>IFERROR('3. Monthly'!H53/'3. Monthly'!I53,"")</f>
        <v/>
      </c>
      <c r="G53" s="4">
        <f>IF('3. Monthly'!J53="","",'3. Monthly'!J53)</f>
        <v/>
      </c>
      <c r="H53" s="4">
        <f>IFERROR('3. Monthly'!K53/'3. Monthly'!L53,"")</f>
        <v/>
      </c>
      <c r="I53" s="21">
        <f>IFERROR('3. Monthly'!M53/'3. Monthly'!K53,"")</f>
        <v/>
      </c>
      <c r="J53" s="4">
        <f>IF('3. Monthly'!N53="","",'3. Monthly'!N53)</f>
        <v/>
      </c>
      <c r="K53" s="21">
        <f>IFERROR(('3. Monthly'!O53-'3. Monthly'!P53)/'3. Monthly'!O53,"")</f>
        <v/>
      </c>
      <c r="L53" s="21">
        <f>IFERROR('3. Monthly'!Q53/'3. Monthly'!G53,"")</f>
        <v/>
      </c>
      <c r="M53" s="21">
        <f>IFERROR('3. Monthly'!R53/'3. Monthly'!F53,"")</f>
        <v/>
      </c>
      <c r="N53" s="21">
        <f>IF('3. Monthly'!S53="","",'3. Monthly'!S53)</f>
        <v/>
      </c>
      <c r="O53" s="4">
        <f>IF('3. Monthly'!T53="","",'3. Monthly'!T53)</f>
        <v/>
      </c>
      <c r="P53" s="21">
        <f>IFERROR('3. Monthly'!U53/'3. Monthly'!H53,"")</f>
        <v/>
      </c>
      <c r="Q53" s="21">
        <f>IFERROR('3. Monthly'!V53/'3. Monthly'!H53,"")</f>
        <v/>
      </c>
      <c r="R53" s="21">
        <f>IFERROR('3. Monthly'!W53/'3. Monthly'!H53,"")</f>
        <v/>
      </c>
      <c r="S53" s="4">
        <f>IF('3. Monthly'!X53="","",'3. Monthly'!X53)</f>
        <v/>
      </c>
    </row>
    <row r="54">
      <c r="A54" s="4">
        <f>IF('3. Monthly'!A54="","",'3. Monthly'!A54)</f>
        <v/>
      </c>
      <c r="B54" s="20">
        <f>IF('3. Monthly'!A54="","",'3. Monthly'!B54)</f>
        <v/>
      </c>
      <c r="C54" s="4">
        <f>IF('3. Monthly'!A54="","",'3. Monthly'!C54)</f>
        <v/>
      </c>
      <c r="D54" s="21">
        <f>IFERROR('3. Monthly'!D54/'3. Monthly'!E54,"")</f>
        <v/>
      </c>
      <c r="E54" s="21">
        <f>IFERROR('3. Monthly'!F54/'3. Monthly'!G54,"")</f>
        <v/>
      </c>
      <c r="F54" s="21">
        <f>IFERROR('3. Monthly'!H54/'3. Monthly'!I54,"")</f>
        <v/>
      </c>
      <c r="G54" s="4">
        <f>IF('3. Monthly'!J54="","",'3. Monthly'!J54)</f>
        <v/>
      </c>
      <c r="H54" s="4">
        <f>IFERROR('3. Monthly'!K54/'3. Monthly'!L54,"")</f>
        <v/>
      </c>
      <c r="I54" s="21">
        <f>IFERROR('3. Monthly'!M54/'3. Monthly'!K54,"")</f>
        <v/>
      </c>
      <c r="J54" s="4">
        <f>IF('3. Monthly'!N54="","",'3. Monthly'!N54)</f>
        <v/>
      </c>
      <c r="K54" s="21">
        <f>IFERROR(('3. Monthly'!O54-'3. Monthly'!P54)/'3. Monthly'!O54,"")</f>
        <v/>
      </c>
      <c r="L54" s="21">
        <f>IFERROR('3. Monthly'!Q54/'3. Monthly'!G54,"")</f>
        <v/>
      </c>
      <c r="M54" s="21">
        <f>IFERROR('3. Monthly'!R54/'3. Monthly'!F54,"")</f>
        <v/>
      </c>
      <c r="N54" s="21">
        <f>IF('3. Monthly'!S54="","",'3. Monthly'!S54)</f>
        <v/>
      </c>
      <c r="O54" s="4">
        <f>IF('3. Monthly'!T54="","",'3. Monthly'!T54)</f>
        <v/>
      </c>
      <c r="P54" s="21">
        <f>IFERROR('3. Monthly'!U54/'3. Monthly'!H54,"")</f>
        <v/>
      </c>
      <c r="Q54" s="21">
        <f>IFERROR('3. Monthly'!V54/'3. Monthly'!H54,"")</f>
        <v/>
      </c>
      <c r="R54" s="21">
        <f>IFERROR('3. Monthly'!W54/'3. Monthly'!H54,"")</f>
        <v/>
      </c>
      <c r="S54" s="4">
        <f>IF('3. Monthly'!X54="","",'3. Monthly'!X54)</f>
        <v/>
      </c>
    </row>
    <row r="55">
      <c r="A55" s="4">
        <f>IF('3. Monthly'!A55="","",'3. Monthly'!A55)</f>
        <v/>
      </c>
      <c r="B55" s="20">
        <f>IF('3. Monthly'!A55="","",'3. Monthly'!B55)</f>
        <v/>
      </c>
      <c r="C55" s="4">
        <f>IF('3. Monthly'!A55="","",'3. Monthly'!C55)</f>
        <v/>
      </c>
      <c r="D55" s="21">
        <f>IFERROR('3. Monthly'!D55/'3. Monthly'!E55,"")</f>
        <v/>
      </c>
      <c r="E55" s="21">
        <f>IFERROR('3. Monthly'!F55/'3. Monthly'!G55,"")</f>
        <v/>
      </c>
      <c r="F55" s="21">
        <f>IFERROR('3. Monthly'!H55/'3. Monthly'!I55,"")</f>
        <v/>
      </c>
      <c r="G55" s="4">
        <f>IF('3. Monthly'!J55="","",'3. Monthly'!J55)</f>
        <v/>
      </c>
      <c r="H55" s="4">
        <f>IFERROR('3. Monthly'!K55/'3. Monthly'!L55,"")</f>
        <v/>
      </c>
      <c r="I55" s="21">
        <f>IFERROR('3. Monthly'!M55/'3. Monthly'!K55,"")</f>
        <v/>
      </c>
      <c r="J55" s="4">
        <f>IF('3. Monthly'!N55="","",'3. Monthly'!N55)</f>
        <v/>
      </c>
      <c r="K55" s="21">
        <f>IFERROR(('3. Monthly'!O55-'3. Monthly'!P55)/'3. Monthly'!O55,"")</f>
        <v/>
      </c>
      <c r="L55" s="21">
        <f>IFERROR('3. Monthly'!Q55/'3. Monthly'!G55,"")</f>
        <v/>
      </c>
      <c r="M55" s="21">
        <f>IFERROR('3. Monthly'!R55/'3. Monthly'!F55,"")</f>
        <v/>
      </c>
      <c r="N55" s="21">
        <f>IF('3. Monthly'!S55="","",'3. Monthly'!S55)</f>
        <v/>
      </c>
      <c r="O55" s="4">
        <f>IF('3. Monthly'!T55="","",'3. Monthly'!T55)</f>
        <v/>
      </c>
      <c r="P55" s="21">
        <f>IFERROR('3. Monthly'!U55/'3. Monthly'!H55,"")</f>
        <v/>
      </c>
      <c r="Q55" s="21">
        <f>IFERROR('3. Monthly'!V55/'3. Monthly'!H55,"")</f>
        <v/>
      </c>
      <c r="R55" s="21">
        <f>IFERROR('3. Monthly'!W55/'3. Monthly'!H55,"")</f>
        <v/>
      </c>
      <c r="S55" s="4">
        <f>IF('3. Monthly'!X55="","",'3. Monthly'!X55)</f>
        <v/>
      </c>
    </row>
    <row r="56">
      <c r="A56" s="4">
        <f>IF('3. Monthly'!A56="","",'3. Monthly'!A56)</f>
        <v/>
      </c>
      <c r="B56" s="20">
        <f>IF('3. Monthly'!A56="","",'3. Monthly'!B56)</f>
        <v/>
      </c>
      <c r="C56" s="4">
        <f>IF('3. Monthly'!A56="","",'3. Monthly'!C56)</f>
        <v/>
      </c>
      <c r="D56" s="21">
        <f>IFERROR('3. Monthly'!D56/'3. Monthly'!E56,"")</f>
        <v/>
      </c>
      <c r="E56" s="21">
        <f>IFERROR('3. Monthly'!F56/'3. Monthly'!G56,"")</f>
        <v/>
      </c>
      <c r="F56" s="21">
        <f>IFERROR('3. Monthly'!H56/'3. Monthly'!I56,"")</f>
        <v/>
      </c>
      <c r="G56" s="4">
        <f>IF('3. Monthly'!J56="","",'3. Monthly'!J56)</f>
        <v/>
      </c>
      <c r="H56" s="4">
        <f>IFERROR('3. Monthly'!K56/'3. Monthly'!L56,"")</f>
        <v/>
      </c>
      <c r="I56" s="21">
        <f>IFERROR('3. Monthly'!M56/'3. Monthly'!K56,"")</f>
        <v/>
      </c>
      <c r="J56" s="4">
        <f>IF('3. Monthly'!N56="","",'3. Monthly'!N56)</f>
        <v/>
      </c>
      <c r="K56" s="21">
        <f>IFERROR(('3. Monthly'!O56-'3. Monthly'!P56)/'3. Monthly'!O56,"")</f>
        <v/>
      </c>
      <c r="L56" s="21">
        <f>IFERROR('3. Monthly'!Q56/'3. Monthly'!G56,"")</f>
        <v/>
      </c>
      <c r="M56" s="21">
        <f>IFERROR('3. Monthly'!R56/'3. Monthly'!F56,"")</f>
        <v/>
      </c>
      <c r="N56" s="21">
        <f>IF('3. Monthly'!S56="","",'3. Monthly'!S56)</f>
        <v/>
      </c>
      <c r="O56" s="4">
        <f>IF('3. Monthly'!T56="","",'3. Monthly'!T56)</f>
        <v/>
      </c>
      <c r="P56" s="21">
        <f>IFERROR('3. Monthly'!U56/'3. Monthly'!H56,"")</f>
        <v/>
      </c>
      <c r="Q56" s="21">
        <f>IFERROR('3. Monthly'!V56/'3. Monthly'!H56,"")</f>
        <v/>
      </c>
      <c r="R56" s="21">
        <f>IFERROR('3. Monthly'!W56/'3. Monthly'!H56,"")</f>
        <v/>
      </c>
      <c r="S56" s="4">
        <f>IF('3. Monthly'!X56="","",'3. Monthly'!X56)</f>
        <v/>
      </c>
    </row>
    <row r="57">
      <c r="A57" s="4">
        <f>IF('3. Monthly'!A57="","",'3. Monthly'!A57)</f>
        <v/>
      </c>
      <c r="B57" s="20">
        <f>IF('3. Monthly'!A57="","",'3. Monthly'!B57)</f>
        <v/>
      </c>
      <c r="C57" s="4">
        <f>IF('3. Monthly'!A57="","",'3. Monthly'!C57)</f>
        <v/>
      </c>
      <c r="D57" s="21">
        <f>IFERROR('3. Monthly'!D57/'3. Monthly'!E57,"")</f>
        <v/>
      </c>
      <c r="E57" s="21">
        <f>IFERROR('3. Monthly'!F57/'3. Monthly'!G57,"")</f>
        <v/>
      </c>
      <c r="F57" s="21">
        <f>IFERROR('3. Monthly'!H57/'3. Monthly'!I57,"")</f>
        <v/>
      </c>
      <c r="G57" s="4">
        <f>IF('3. Monthly'!J57="","",'3. Monthly'!J57)</f>
        <v/>
      </c>
      <c r="H57" s="4">
        <f>IFERROR('3. Monthly'!K57/'3. Monthly'!L57,"")</f>
        <v/>
      </c>
      <c r="I57" s="21">
        <f>IFERROR('3. Monthly'!M57/'3. Monthly'!K57,"")</f>
        <v/>
      </c>
      <c r="J57" s="4">
        <f>IF('3. Monthly'!N57="","",'3. Monthly'!N57)</f>
        <v/>
      </c>
      <c r="K57" s="21">
        <f>IFERROR(('3. Monthly'!O57-'3. Monthly'!P57)/'3. Monthly'!O57,"")</f>
        <v/>
      </c>
      <c r="L57" s="21">
        <f>IFERROR('3. Monthly'!Q57/'3. Monthly'!G57,"")</f>
        <v/>
      </c>
      <c r="M57" s="21">
        <f>IFERROR('3. Monthly'!R57/'3. Monthly'!F57,"")</f>
        <v/>
      </c>
      <c r="N57" s="21">
        <f>IF('3. Monthly'!S57="","",'3. Monthly'!S57)</f>
        <v/>
      </c>
      <c r="O57" s="4">
        <f>IF('3. Monthly'!T57="","",'3. Monthly'!T57)</f>
        <v/>
      </c>
      <c r="P57" s="21">
        <f>IFERROR('3. Monthly'!U57/'3. Monthly'!H57,"")</f>
        <v/>
      </c>
      <c r="Q57" s="21">
        <f>IFERROR('3. Monthly'!V57/'3. Monthly'!H57,"")</f>
        <v/>
      </c>
      <c r="R57" s="21">
        <f>IFERROR('3. Monthly'!W57/'3. Monthly'!H57,"")</f>
        <v/>
      </c>
      <c r="S57" s="4">
        <f>IF('3. Monthly'!X57="","",'3. Monthly'!X57)</f>
        <v/>
      </c>
    </row>
    <row r="58">
      <c r="A58" s="4">
        <f>IF('3. Monthly'!A58="","",'3. Monthly'!A58)</f>
        <v/>
      </c>
      <c r="B58" s="20">
        <f>IF('3. Monthly'!A58="","",'3. Monthly'!B58)</f>
        <v/>
      </c>
      <c r="C58" s="4">
        <f>IF('3. Monthly'!A58="","",'3. Monthly'!C58)</f>
        <v/>
      </c>
      <c r="D58" s="21">
        <f>IFERROR('3. Monthly'!D58/'3. Monthly'!E58,"")</f>
        <v/>
      </c>
      <c r="E58" s="21">
        <f>IFERROR('3. Monthly'!F58/'3. Monthly'!G58,"")</f>
        <v/>
      </c>
      <c r="F58" s="21">
        <f>IFERROR('3. Monthly'!H58/'3. Monthly'!I58,"")</f>
        <v/>
      </c>
      <c r="G58" s="4">
        <f>IF('3. Monthly'!J58="","",'3. Monthly'!J58)</f>
        <v/>
      </c>
      <c r="H58" s="4">
        <f>IFERROR('3. Monthly'!K58/'3. Monthly'!L58,"")</f>
        <v/>
      </c>
      <c r="I58" s="21">
        <f>IFERROR('3. Monthly'!M58/'3. Monthly'!K58,"")</f>
        <v/>
      </c>
      <c r="J58" s="4">
        <f>IF('3. Monthly'!N58="","",'3. Monthly'!N58)</f>
        <v/>
      </c>
      <c r="K58" s="21">
        <f>IFERROR(('3. Monthly'!O58-'3. Monthly'!P58)/'3. Monthly'!O58,"")</f>
        <v/>
      </c>
      <c r="L58" s="21">
        <f>IFERROR('3. Monthly'!Q58/'3. Monthly'!G58,"")</f>
        <v/>
      </c>
      <c r="M58" s="21">
        <f>IFERROR('3. Monthly'!R58/'3. Monthly'!F58,"")</f>
        <v/>
      </c>
      <c r="N58" s="21">
        <f>IF('3. Monthly'!S58="","",'3. Monthly'!S58)</f>
        <v/>
      </c>
      <c r="O58" s="4">
        <f>IF('3. Monthly'!T58="","",'3. Monthly'!T58)</f>
        <v/>
      </c>
      <c r="P58" s="21">
        <f>IFERROR('3. Monthly'!U58/'3. Monthly'!H58,"")</f>
        <v/>
      </c>
      <c r="Q58" s="21">
        <f>IFERROR('3. Monthly'!V58/'3. Monthly'!H58,"")</f>
        <v/>
      </c>
      <c r="R58" s="21">
        <f>IFERROR('3. Monthly'!W58/'3. Monthly'!H58,"")</f>
        <v/>
      </c>
      <c r="S58" s="4">
        <f>IF('3. Monthly'!X58="","",'3. Monthly'!X58)</f>
        <v/>
      </c>
    </row>
    <row r="59">
      <c r="A59" s="4">
        <f>IF('3. Monthly'!A59="","",'3. Monthly'!A59)</f>
        <v/>
      </c>
      <c r="B59" s="20">
        <f>IF('3. Monthly'!A59="","",'3. Monthly'!B59)</f>
        <v/>
      </c>
      <c r="C59" s="4">
        <f>IF('3. Monthly'!A59="","",'3. Monthly'!C59)</f>
        <v/>
      </c>
      <c r="D59" s="21">
        <f>IFERROR('3. Monthly'!D59/'3. Monthly'!E59,"")</f>
        <v/>
      </c>
      <c r="E59" s="21">
        <f>IFERROR('3. Monthly'!F59/'3. Monthly'!G59,"")</f>
        <v/>
      </c>
      <c r="F59" s="21">
        <f>IFERROR('3. Monthly'!H59/'3. Monthly'!I59,"")</f>
        <v/>
      </c>
      <c r="G59" s="4">
        <f>IF('3. Monthly'!J59="","",'3. Monthly'!J59)</f>
        <v/>
      </c>
      <c r="H59" s="4">
        <f>IFERROR('3. Monthly'!K59/'3. Monthly'!L59,"")</f>
        <v/>
      </c>
      <c r="I59" s="21">
        <f>IFERROR('3. Monthly'!M59/'3. Monthly'!K59,"")</f>
        <v/>
      </c>
      <c r="J59" s="4">
        <f>IF('3. Monthly'!N59="","",'3. Monthly'!N59)</f>
        <v/>
      </c>
      <c r="K59" s="21">
        <f>IFERROR(('3. Monthly'!O59-'3. Monthly'!P59)/'3. Monthly'!O59,"")</f>
        <v/>
      </c>
      <c r="L59" s="21">
        <f>IFERROR('3. Monthly'!Q59/'3. Monthly'!G59,"")</f>
        <v/>
      </c>
      <c r="M59" s="21">
        <f>IFERROR('3. Monthly'!R59/'3. Monthly'!F59,"")</f>
        <v/>
      </c>
      <c r="N59" s="21">
        <f>IF('3. Monthly'!S59="","",'3. Monthly'!S59)</f>
        <v/>
      </c>
      <c r="O59" s="4">
        <f>IF('3. Monthly'!T59="","",'3. Monthly'!T59)</f>
        <v/>
      </c>
      <c r="P59" s="21">
        <f>IFERROR('3. Monthly'!U59/'3. Monthly'!H59,"")</f>
        <v/>
      </c>
      <c r="Q59" s="21">
        <f>IFERROR('3. Monthly'!V59/'3. Monthly'!H59,"")</f>
        <v/>
      </c>
      <c r="R59" s="21">
        <f>IFERROR('3. Monthly'!W59/'3. Monthly'!H59,"")</f>
        <v/>
      </c>
      <c r="S59" s="4">
        <f>IF('3. Monthly'!X59="","",'3. Monthly'!X59)</f>
        <v/>
      </c>
    </row>
    <row r="60">
      <c r="A60" s="4">
        <f>IF('3. Monthly'!A60="","",'3. Monthly'!A60)</f>
        <v/>
      </c>
      <c r="B60" s="20">
        <f>IF('3. Monthly'!A60="","",'3. Monthly'!B60)</f>
        <v/>
      </c>
      <c r="C60" s="4">
        <f>IF('3. Monthly'!A60="","",'3. Monthly'!C60)</f>
        <v/>
      </c>
      <c r="D60" s="21">
        <f>IFERROR('3. Monthly'!D60/'3. Monthly'!E60,"")</f>
        <v/>
      </c>
      <c r="E60" s="21">
        <f>IFERROR('3. Monthly'!F60/'3. Monthly'!G60,"")</f>
        <v/>
      </c>
      <c r="F60" s="21">
        <f>IFERROR('3. Monthly'!H60/'3. Monthly'!I60,"")</f>
        <v/>
      </c>
      <c r="G60" s="4">
        <f>IF('3. Monthly'!J60="","",'3. Monthly'!J60)</f>
        <v/>
      </c>
      <c r="H60" s="4">
        <f>IFERROR('3. Monthly'!K60/'3. Monthly'!L60,"")</f>
        <v/>
      </c>
      <c r="I60" s="21">
        <f>IFERROR('3. Monthly'!M60/'3. Monthly'!K60,"")</f>
        <v/>
      </c>
      <c r="J60" s="4">
        <f>IF('3. Monthly'!N60="","",'3. Monthly'!N60)</f>
        <v/>
      </c>
      <c r="K60" s="21">
        <f>IFERROR(('3. Monthly'!O60-'3. Monthly'!P60)/'3. Monthly'!O60,"")</f>
        <v/>
      </c>
      <c r="L60" s="21">
        <f>IFERROR('3. Monthly'!Q60/'3. Monthly'!G60,"")</f>
        <v/>
      </c>
      <c r="M60" s="21">
        <f>IFERROR('3. Monthly'!R60/'3. Monthly'!F60,"")</f>
        <v/>
      </c>
      <c r="N60" s="21">
        <f>IF('3. Monthly'!S60="","",'3. Monthly'!S60)</f>
        <v/>
      </c>
      <c r="O60" s="4">
        <f>IF('3. Monthly'!T60="","",'3. Monthly'!T60)</f>
        <v/>
      </c>
      <c r="P60" s="21">
        <f>IFERROR('3. Monthly'!U60/'3. Monthly'!H60,"")</f>
        <v/>
      </c>
      <c r="Q60" s="21">
        <f>IFERROR('3. Monthly'!V60/'3. Monthly'!H60,"")</f>
        <v/>
      </c>
      <c r="R60" s="21">
        <f>IFERROR('3. Monthly'!W60/'3. Monthly'!H60,"")</f>
        <v/>
      </c>
      <c r="S60" s="4">
        <f>IF('3. Monthly'!X60="","",'3. Monthly'!X60)</f>
        <v/>
      </c>
    </row>
    <row r="61">
      <c r="A61" s="4">
        <f>IF('3. Monthly'!A61="","",'3. Monthly'!A61)</f>
        <v/>
      </c>
      <c r="B61" s="20">
        <f>IF('3. Monthly'!A61="","",'3. Monthly'!B61)</f>
        <v/>
      </c>
      <c r="C61" s="4">
        <f>IF('3. Monthly'!A61="","",'3. Monthly'!C61)</f>
        <v/>
      </c>
      <c r="D61" s="21">
        <f>IFERROR('3. Monthly'!D61/'3. Monthly'!E61,"")</f>
        <v/>
      </c>
      <c r="E61" s="21">
        <f>IFERROR('3. Monthly'!F61/'3. Monthly'!G61,"")</f>
        <v/>
      </c>
      <c r="F61" s="21">
        <f>IFERROR('3. Monthly'!H61/'3. Monthly'!I61,"")</f>
        <v/>
      </c>
      <c r="G61" s="4">
        <f>IF('3. Monthly'!J61="","",'3. Monthly'!J61)</f>
        <v/>
      </c>
      <c r="H61" s="4">
        <f>IFERROR('3. Monthly'!K61/'3. Monthly'!L61,"")</f>
        <v/>
      </c>
      <c r="I61" s="21">
        <f>IFERROR('3. Monthly'!M61/'3. Monthly'!K61,"")</f>
        <v/>
      </c>
      <c r="J61" s="4">
        <f>IF('3. Monthly'!N61="","",'3. Monthly'!N61)</f>
        <v/>
      </c>
      <c r="K61" s="21">
        <f>IFERROR(('3. Monthly'!O61-'3. Monthly'!P61)/'3. Monthly'!O61,"")</f>
        <v/>
      </c>
      <c r="L61" s="21">
        <f>IFERROR('3. Monthly'!Q61/'3. Monthly'!G61,"")</f>
        <v/>
      </c>
      <c r="M61" s="21">
        <f>IFERROR('3. Monthly'!R61/'3. Monthly'!F61,"")</f>
        <v/>
      </c>
      <c r="N61" s="21">
        <f>IF('3. Monthly'!S61="","",'3. Monthly'!S61)</f>
        <v/>
      </c>
      <c r="O61" s="4">
        <f>IF('3. Monthly'!T61="","",'3. Monthly'!T61)</f>
        <v/>
      </c>
      <c r="P61" s="21">
        <f>IFERROR('3. Monthly'!U61/'3. Monthly'!H61,"")</f>
        <v/>
      </c>
      <c r="Q61" s="21">
        <f>IFERROR('3. Monthly'!V61/'3. Monthly'!H61,"")</f>
        <v/>
      </c>
      <c r="R61" s="21">
        <f>IFERROR('3. Monthly'!W61/'3. Monthly'!H61,"")</f>
        <v/>
      </c>
      <c r="S61" s="4">
        <f>IF('3. Monthly'!X61="","",'3. Monthly'!X61)</f>
        <v/>
      </c>
    </row>
    <row r="62">
      <c r="A62" s="4">
        <f>IF('3. Monthly'!A62="","",'3. Monthly'!A62)</f>
        <v/>
      </c>
      <c r="B62" s="20">
        <f>IF('3. Monthly'!A62="","",'3. Monthly'!B62)</f>
        <v/>
      </c>
      <c r="C62" s="4">
        <f>IF('3. Monthly'!A62="","",'3. Monthly'!C62)</f>
        <v/>
      </c>
      <c r="D62" s="21">
        <f>IFERROR('3. Monthly'!D62/'3. Monthly'!E62,"")</f>
        <v/>
      </c>
      <c r="E62" s="21">
        <f>IFERROR('3. Monthly'!F62/'3. Monthly'!G62,"")</f>
        <v/>
      </c>
      <c r="F62" s="21">
        <f>IFERROR('3. Monthly'!H62/'3. Monthly'!I62,"")</f>
        <v/>
      </c>
      <c r="G62" s="4">
        <f>IF('3. Monthly'!J62="","",'3. Monthly'!J62)</f>
        <v/>
      </c>
      <c r="H62" s="4">
        <f>IFERROR('3. Monthly'!K62/'3. Monthly'!L62,"")</f>
        <v/>
      </c>
      <c r="I62" s="21">
        <f>IFERROR('3. Monthly'!M62/'3. Monthly'!K62,"")</f>
        <v/>
      </c>
      <c r="J62" s="4">
        <f>IF('3. Monthly'!N62="","",'3. Monthly'!N62)</f>
        <v/>
      </c>
      <c r="K62" s="21">
        <f>IFERROR(('3. Monthly'!O62-'3. Monthly'!P62)/'3. Monthly'!O62,"")</f>
        <v/>
      </c>
      <c r="L62" s="21">
        <f>IFERROR('3. Monthly'!Q62/'3. Monthly'!G62,"")</f>
        <v/>
      </c>
      <c r="M62" s="21">
        <f>IFERROR('3. Monthly'!R62/'3. Monthly'!F62,"")</f>
        <v/>
      </c>
      <c r="N62" s="21">
        <f>IF('3. Monthly'!S62="","",'3. Monthly'!S62)</f>
        <v/>
      </c>
      <c r="O62" s="4">
        <f>IF('3. Monthly'!T62="","",'3. Monthly'!T62)</f>
        <v/>
      </c>
      <c r="P62" s="21">
        <f>IFERROR('3. Monthly'!U62/'3. Monthly'!H62,"")</f>
        <v/>
      </c>
      <c r="Q62" s="21">
        <f>IFERROR('3. Monthly'!V62/'3. Monthly'!H62,"")</f>
        <v/>
      </c>
      <c r="R62" s="21">
        <f>IFERROR('3. Monthly'!W62/'3. Monthly'!H62,"")</f>
        <v/>
      </c>
      <c r="S62" s="4">
        <f>IF('3. Monthly'!X62="","",'3. Monthly'!X62)</f>
        <v/>
      </c>
    </row>
    <row r="63">
      <c r="A63" s="4">
        <f>IF('3. Monthly'!A63="","",'3. Monthly'!A63)</f>
        <v/>
      </c>
      <c r="B63" s="20">
        <f>IF('3. Monthly'!A63="","",'3. Monthly'!B63)</f>
        <v/>
      </c>
      <c r="C63" s="4">
        <f>IF('3. Monthly'!A63="","",'3. Monthly'!C63)</f>
        <v/>
      </c>
      <c r="D63" s="21">
        <f>IFERROR('3. Monthly'!D63/'3. Monthly'!E63,"")</f>
        <v/>
      </c>
      <c r="E63" s="21">
        <f>IFERROR('3. Monthly'!F63/'3. Monthly'!G63,"")</f>
        <v/>
      </c>
      <c r="F63" s="21">
        <f>IFERROR('3. Monthly'!H63/'3. Monthly'!I63,"")</f>
        <v/>
      </c>
      <c r="G63" s="4">
        <f>IF('3. Monthly'!J63="","",'3. Monthly'!J63)</f>
        <v/>
      </c>
      <c r="H63" s="4">
        <f>IFERROR('3. Monthly'!K63/'3. Monthly'!L63,"")</f>
        <v/>
      </c>
      <c r="I63" s="21">
        <f>IFERROR('3. Monthly'!M63/'3. Monthly'!K63,"")</f>
        <v/>
      </c>
      <c r="J63" s="4">
        <f>IF('3. Monthly'!N63="","",'3. Monthly'!N63)</f>
        <v/>
      </c>
      <c r="K63" s="21">
        <f>IFERROR(('3. Monthly'!O63-'3. Monthly'!P63)/'3. Monthly'!O63,"")</f>
        <v/>
      </c>
      <c r="L63" s="21">
        <f>IFERROR('3. Monthly'!Q63/'3. Monthly'!G63,"")</f>
        <v/>
      </c>
      <c r="M63" s="21">
        <f>IFERROR('3. Monthly'!R63/'3. Monthly'!F63,"")</f>
        <v/>
      </c>
      <c r="N63" s="21">
        <f>IF('3. Monthly'!S63="","",'3. Monthly'!S63)</f>
        <v/>
      </c>
      <c r="O63" s="4">
        <f>IF('3. Monthly'!T63="","",'3. Monthly'!T63)</f>
        <v/>
      </c>
      <c r="P63" s="21">
        <f>IFERROR('3. Monthly'!U63/'3. Monthly'!H63,"")</f>
        <v/>
      </c>
      <c r="Q63" s="21">
        <f>IFERROR('3. Monthly'!V63/'3. Monthly'!H63,"")</f>
        <v/>
      </c>
      <c r="R63" s="21">
        <f>IFERROR('3. Monthly'!W63/'3. Monthly'!H63,"")</f>
        <v/>
      </c>
      <c r="S63" s="4">
        <f>IF('3. Monthly'!X63="","",'3. Monthly'!X63)</f>
        <v/>
      </c>
    </row>
    <row r="64">
      <c r="A64" s="4">
        <f>IF('3. Monthly'!A64="","",'3. Monthly'!A64)</f>
        <v/>
      </c>
      <c r="B64" s="20">
        <f>IF('3. Monthly'!A64="","",'3. Monthly'!B64)</f>
        <v/>
      </c>
      <c r="C64" s="4">
        <f>IF('3. Monthly'!A64="","",'3. Monthly'!C64)</f>
        <v/>
      </c>
      <c r="D64" s="21">
        <f>IFERROR('3. Monthly'!D64/'3. Monthly'!E64,"")</f>
        <v/>
      </c>
      <c r="E64" s="21">
        <f>IFERROR('3. Monthly'!F64/'3. Monthly'!G64,"")</f>
        <v/>
      </c>
      <c r="F64" s="21">
        <f>IFERROR('3. Monthly'!H64/'3. Monthly'!I64,"")</f>
        <v/>
      </c>
      <c r="G64" s="4">
        <f>IF('3. Monthly'!J64="","",'3. Monthly'!J64)</f>
        <v/>
      </c>
      <c r="H64" s="4">
        <f>IFERROR('3. Monthly'!K64/'3. Monthly'!L64,"")</f>
        <v/>
      </c>
      <c r="I64" s="21">
        <f>IFERROR('3. Monthly'!M64/'3. Monthly'!K64,"")</f>
        <v/>
      </c>
      <c r="J64" s="4">
        <f>IF('3. Monthly'!N64="","",'3. Monthly'!N64)</f>
        <v/>
      </c>
      <c r="K64" s="21">
        <f>IFERROR(('3. Monthly'!O64-'3. Monthly'!P64)/'3. Monthly'!O64,"")</f>
        <v/>
      </c>
      <c r="L64" s="21">
        <f>IFERROR('3. Monthly'!Q64/'3. Monthly'!G64,"")</f>
        <v/>
      </c>
      <c r="M64" s="21">
        <f>IFERROR('3. Monthly'!R64/'3. Monthly'!F64,"")</f>
        <v/>
      </c>
      <c r="N64" s="21">
        <f>IF('3. Monthly'!S64="","",'3. Monthly'!S64)</f>
        <v/>
      </c>
      <c r="O64" s="4">
        <f>IF('3. Monthly'!T64="","",'3. Monthly'!T64)</f>
        <v/>
      </c>
      <c r="P64" s="21">
        <f>IFERROR('3. Monthly'!U64/'3. Monthly'!H64,"")</f>
        <v/>
      </c>
      <c r="Q64" s="21">
        <f>IFERROR('3. Monthly'!V64/'3. Monthly'!H64,"")</f>
        <v/>
      </c>
      <c r="R64" s="21">
        <f>IFERROR('3. Monthly'!W64/'3. Monthly'!H64,"")</f>
        <v/>
      </c>
      <c r="S64" s="4">
        <f>IF('3. Monthly'!X64="","",'3. Monthly'!X64)</f>
        <v/>
      </c>
    </row>
    <row r="65">
      <c r="A65" s="4">
        <f>IF('3. Monthly'!A65="","",'3. Monthly'!A65)</f>
        <v/>
      </c>
      <c r="B65" s="20">
        <f>IF('3. Monthly'!A65="","",'3. Monthly'!B65)</f>
        <v/>
      </c>
      <c r="C65" s="4">
        <f>IF('3. Monthly'!A65="","",'3. Monthly'!C65)</f>
        <v/>
      </c>
      <c r="D65" s="21">
        <f>IFERROR('3. Monthly'!D65/'3. Monthly'!E65,"")</f>
        <v/>
      </c>
      <c r="E65" s="21">
        <f>IFERROR('3. Monthly'!F65/'3. Monthly'!G65,"")</f>
        <v/>
      </c>
      <c r="F65" s="21">
        <f>IFERROR('3. Monthly'!H65/'3. Monthly'!I65,"")</f>
        <v/>
      </c>
      <c r="G65" s="4">
        <f>IF('3. Monthly'!J65="","",'3. Monthly'!J65)</f>
        <v/>
      </c>
      <c r="H65" s="4">
        <f>IFERROR('3. Monthly'!K65/'3. Monthly'!L65,"")</f>
        <v/>
      </c>
      <c r="I65" s="21">
        <f>IFERROR('3. Monthly'!M65/'3. Monthly'!K65,"")</f>
        <v/>
      </c>
      <c r="J65" s="4">
        <f>IF('3. Monthly'!N65="","",'3. Monthly'!N65)</f>
        <v/>
      </c>
      <c r="K65" s="21">
        <f>IFERROR(('3. Monthly'!O65-'3. Monthly'!P65)/'3. Monthly'!O65,"")</f>
        <v/>
      </c>
      <c r="L65" s="21">
        <f>IFERROR('3. Monthly'!Q65/'3. Monthly'!G65,"")</f>
        <v/>
      </c>
      <c r="M65" s="21">
        <f>IFERROR('3. Monthly'!R65/'3. Monthly'!F65,"")</f>
        <v/>
      </c>
      <c r="N65" s="21">
        <f>IF('3. Monthly'!S65="","",'3. Monthly'!S65)</f>
        <v/>
      </c>
      <c r="O65" s="4">
        <f>IF('3. Monthly'!T65="","",'3. Monthly'!T65)</f>
        <v/>
      </c>
      <c r="P65" s="21">
        <f>IFERROR('3. Monthly'!U65/'3. Monthly'!H65,"")</f>
        <v/>
      </c>
      <c r="Q65" s="21">
        <f>IFERROR('3. Monthly'!V65/'3. Monthly'!H65,"")</f>
        <v/>
      </c>
      <c r="R65" s="21">
        <f>IFERROR('3. Monthly'!W65/'3. Monthly'!H65,"")</f>
        <v/>
      </c>
      <c r="S65" s="4">
        <f>IF('3. Monthly'!X65="","",'3. Monthly'!X65)</f>
        <v/>
      </c>
    </row>
    <row r="66">
      <c r="A66" s="4">
        <f>IF('3. Monthly'!A66="","",'3. Monthly'!A66)</f>
        <v/>
      </c>
      <c r="B66" s="20">
        <f>IF('3. Monthly'!A66="","",'3. Monthly'!B66)</f>
        <v/>
      </c>
      <c r="C66" s="4">
        <f>IF('3. Monthly'!A66="","",'3. Monthly'!C66)</f>
        <v/>
      </c>
      <c r="D66" s="21">
        <f>IFERROR('3. Monthly'!D66/'3. Monthly'!E66,"")</f>
        <v/>
      </c>
      <c r="E66" s="21">
        <f>IFERROR('3. Monthly'!F66/'3. Monthly'!G66,"")</f>
        <v/>
      </c>
      <c r="F66" s="21">
        <f>IFERROR('3. Monthly'!H66/'3. Monthly'!I66,"")</f>
        <v/>
      </c>
      <c r="G66" s="4">
        <f>IF('3. Monthly'!J66="","",'3. Monthly'!J66)</f>
        <v/>
      </c>
      <c r="H66" s="4">
        <f>IFERROR('3. Monthly'!K66/'3. Monthly'!L66,"")</f>
        <v/>
      </c>
      <c r="I66" s="21">
        <f>IFERROR('3. Monthly'!M66/'3. Monthly'!K66,"")</f>
        <v/>
      </c>
      <c r="J66" s="4">
        <f>IF('3. Monthly'!N66="","",'3. Monthly'!N66)</f>
        <v/>
      </c>
      <c r="K66" s="21">
        <f>IFERROR(('3. Monthly'!O66-'3. Monthly'!P66)/'3. Monthly'!O66,"")</f>
        <v/>
      </c>
      <c r="L66" s="21">
        <f>IFERROR('3. Monthly'!Q66/'3. Monthly'!G66,"")</f>
        <v/>
      </c>
      <c r="M66" s="21">
        <f>IFERROR('3. Monthly'!R66/'3. Monthly'!F66,"")</f>
        <v/>
      </c>
      <c r="N66" s="21">
        <f>IF('3. Monthly'!S66="","",'3. Monthly'!S66)</f>
        <v/>
      </c>
      <c r="O66" s="4">
        <f>IF('3. Monthly'!T66="","",'3. Monthly'!T66)</f>
        <v/>
      </c>
      <c r="P66" s="21">
        <f>IFERROR('3. Monthly'!U66/'3. Monthly'!H66,"")</f>
        <v/>
      </c>
      <c r="Q66" s="21">
        <f>IFERROR('3. Monthly'!V66/'3. Monthly'!H66,"")</f>
        <v/>
      </c>
      <c r="R66" s="21">
        <f>IFERROR('3. Monthly'!W66/'3. Monthly'!H66,"")</f>
        <v/>
      </c>
      <c r="S66" s="4">
        <f>IF('3. Monthly'!X66="","",'3. Monthly'!X66)</f>
        <v/>
      </c>
    </row>
    <row r="67">
      <c r="A67" s="4">
        <f>IF('3. Monthly'!A67="","",'3. Monthly'!A67)</f>
        <v/>
      </c>
      <c r="B67" s="20">
        <f>IF('3. Monthly'!A67="","",'3. Monthly'!B67)</f>
        <v/>
      </c>
      <c r="C67" s="4">
        <f>IF('3. Monthly'!A67="","",'3. Monthly'!C67)</f>
        <v/>
      </c>
      <c r="D67" s="21">
        <f>IFERROR('3. Monthly'!D67/'3. Monthly'!E67,"")</f>
        <v/>
      </c>
      <c r="E67" s="21">
        <f>IFERROR('3. Monthly'!F67/'3. Monthly'!G67,"")</f>
        <v/>
      </c>
      <c r="F67" s="21">
        <f>IFERROR('3. Monthly'!H67/'3. Monthly'!I67,"")</f>
        <v/>
      </c>
      <c r="G67" s="4">
        <f>IF('3. Monthly'!J67="","",'3. Monthly'!J67)</f>
        <v/>
      </c>
      <c r="H67" s="4">
        <f>IFERROR('3. Monthly'!K67/'3. Monthly'!L67,"")</f>
        <v/>
      </c>
      <c r="I67" s="21">
        <f>IFERROR('3. Monthly'!M67/'3. Monthly'!K67,"")</f>
        <v/>
      </c>
      <c r="J67" s="4">
        <f>IF('3. Monthly'!N67="","",'3. Monthly'!N67)</f>
        <v/>
      </c>
      <c r="K67" s="21">
        <f>IFERROR(('3. Monthly'!O67-'3. Monthly'!P67)/'3. Monthly'!O67,"")</f>
        <v/>
      </c>
      <c r="L67" s="21">
        <f>IFERROR('3. Monthly'!Q67/'3. Monthly'!G67,"")</f>
        <v/>
      </c>
      <c r="M67" s="21">
        <f>IFERROR('3. Monthly'!R67/'3. Monthly'!F67,"")</f>
        <v/>
      </c>
      <c r="N67" s="21">
        <f>IF('3. Monthly'!S67="","",'3. Monthly'!S67)</f>
        <v/>
      </c>
      <c r="O67" s="4">
        <f>IF('3. Monthly'!T67="","",'3. Monthly'!T67)</f>
        <v/>
      </c>
      <c r="P67" s="21">
        <f>IFERROR('3. Monthly'!U67/'3. Monthly'!H67,"")</f>
        <v/>
      </c>
      <c r="Q67" s="21">
        <f>IFERROR('3. Monthly'!V67/'3. Monthly'!H67,"")</f>
        <v/>
      </c>
      <c r="R67" s="21">
        <f>IFERROR('3. Monthly'!W67/'3. Monthly'!H67,"")</f>
        <v/>
      </c>
      <c r="S67" s="4">
        <f>IF('3. Monthly'!X67="","",'3. Monthly'!X67)</f>
        <v/>
      </c>
    </row>
    <row r="68">
      <c r="A68" s="4">
        <f>IF('3. Monthly'!A68="","",'3. Monthly'!A68)</f>
        <v/>
      </c>
      <c r="B68" s="20">
        <f>IF('3. Monthly'!A68="","",'3. Monthly'!B68)</f>
        <v/>
      </c>
      <c r="C68" s="4">
        <f>IF('3. Monthly'!A68="","",'3. Monthly'!C68)</f>
        <v/>
      </c>
      <c r="D68" s="21">
        <f>IFERROR('3. Monthly'!D68/'3. Monthly'!E68,"")</f>
        <v/>
      </c>
      <c r="E68" s="21">
        <f>IFERROR('3. Monthly'!F68/'3. Monthly'!G68,"")</f>
        <v/>
      </c>
      <c r="F68" s="21">
        <f>IFERROR('3. Monthly'!H68/'3. Monthly'!I68,"")</f>
        <v/>
      </c>
      <c r="G68" s="4">
        <f>IF('3. Monthly'!J68="","",'3. Monthly'!J68)</f>
        <v/>
      </c>
      <c r="H68" s="4">
        <f>IFERROR('3. Monthly'!K68/'3. Monthly'!L68,"")</f>
        <v/>
      </c>
      <c r="I68" s="21">
        <f>IFERROR('3. Monthly'!M68/'3. Monthly'!K68,"")</f>
        <v/>
      </c>
      <c r="J68" s="4">
        <f>IF('3. Monthly'!N68="","",'3. Monthly'!N68)</f>
        <v/>
      </c>
      <c r="K68" s="21">
        <f>IFERROR(('3. Monthly'!O68-'3. Monthly'!P68)/'3. Monthly'!O68,"")</f>
        <v/>
      </c>
      <c r="L68" s="21">
        <f>IFERROR('3. Monthly'!Q68/'3. Monthly'!G68,"")</f>
        <v/>
      </c>
      <c r="M68" s="21">
        <f>IFERROR('3. Monthly'!R68/'3. Monthly'!F68,"")</f>
        <v/>
      </c>
      <c r="N68" s="21">
        <f>IF('3. Monthly'!S68="","",'3. Monthly'!S68)</f>
        <v/>
      </c>
      <c r="O68" s="4">
        <f>IF('3. Monthly'!T68="","",'3. Monthly'!T68)</f>
        <v/>
      </c>
      <c r="P68" s="21">
        <f>IFERROR('3. Monthly'!U68/'3. Monthly'!H68,"")</f>
        <v/>
      </c>
      <c r="Q68" s="21">
        <f>IFERROR('3. Monthly'!V68/'3. Monthly'!H68,"")</f>
        <v/>
      </c>
      <c r="R68" s="21">
        <f>IFERROR('3. Monthly'!W68/'3. Monthly'!H68,"")</f>
        <v/>
      </c>
      <c r="S68" s="4">
        <f>IF('3. Monthly'!X68="","",'3. Monthly'!X68)</f>
        <v/>
      </c>
    </row>
    <row r="69">
      <c r="A69" s="4">
        <f>IF('3. Monthly'!A69="","",'3. Monthly'!A69)</f>
        <v/>
      </c>
      <c r="B69" s="20">
        <f>IF('3. Monthly'!A69="","",'3. Monthly'!B69)</f>
        <v/>
      </c>
      <c r="C69" s="4">
        <f>IF('3. Monthly'!A69="","",'3. Monthly'!C69)</f>
        <v/>
      </c>
      <c r="D69" s="21">
        <f>IFERROR('3. Monthly'!D69/'3. Monthly'!E69,"")</f>
        <v/>
      </c>
      <c r="E69" s="21">
        <f>IFERROR('3. Monthly'!F69/'3. Monthly'!G69,"")</f>
        <v/>
      </c>
      <c r="F69" s="21">
        <f>IFERROR('3. Monthly'!H69/'3. Monthly'!I69,"")</f>
        <v/>
      </c>
      <c r="G69" s="4">
        <f>IF('3. Monthly'!J69="","",'3. Monthly'!J69)</f>
        <v/>
      </c>
      <c r="H69" s="4">
        <f>IFERROR('3. Monthly'!K69/'3. Monthly'!L69,"")</f>
        <v/>
      </c>
      <c r="I69" s="21">
        <f>IFERROR('3. Monthly'!M69/'3. Monthly'!K69,"")</f>
        <v/>
      </c>
      <c r="J69" s="4">
        <f>IF('3. Monthly'!N69="","",'3. Monthly'!N69)</f>
        <v/>
      </c>
      <c r="K69" s="21">
        <f>IFERROR(('3. Monthly'!O69-'3. Monthly'!P69)/'3. Monthly'!O69,"")</f>
        <v/>
      </c>
      <c r="L69" s="21">
        <f>IFERROR('3. Monthly'!Q69/'3. Monthly'!G69,"")</f>
        <v/>
      </c>
      <c r="M69" s="21">
        <f>IFERROR('3. Monthly'!R69/'3. Monthly'!F69,"")</f>
        <v/>
      </c>
      <c r="N69" s="21">
        <f>IF('3. Monthly'!S69="","",'3. Monthly'!S69)</f>
        <v/>
      </c>
      <c r="O69" s="4">
        <f>IF('3. Monthly'!T69="","",'3. Monthly'!T69)</f>
        <v/>
      </c>
      <c r="P69" s="21">
        <f>IFERROR('3. Monthly'!U69/'3. Monthly'!H69,"")</f>
        <v/>
      </c>
      <c r="Q69" s="21">
        <f>IFERROR('3. Monthly'!V69/'3. Monthly'!H69,"")</f>
        <v/>
      </c>
      <c r="R69" s="21">
        <f>IFERROR('3. Monthly'!W69/'3. Monthly'!H69,"")</f>
        <v/>
      </c>
      <c r="S69" s="4">
        <f>IF('3. Monthly'!X69="","",'3. Monthly'!X69)</f>
        <v/>
      </c>
    </row>
    <row r="70">
      <c r="A70" s="4">
        <f>IF('3. Monthly'!A70="","",'3. Monthly'!A70)</f>
        <v/>
      </c>
      <c r="B70" s="20">
        <f>IF('3. Monthly'!A70="","",'3. Monthly'!B70)</f>
        <v/>
      </c>
      <c r="C70" s="4">
        <f>IF('3. Monthly'!A70="","",'3. Monthly'!C70)</f>
        <v/>
      </c>
      <c r="D70" s="21">
        <f>IFERROR('3. Monthly'!D70/'3. Monthly'!E70,"")</f>
        <v/>
      </c>
      <c r="E70" s="21">
        <f>IFERROR('3. Monthly'!F70/'3. Monthly'!G70,"")</f>
        <v/>
      </c>
      <c r="F70" s="21">
        <f>IFERROR('3. Monthly'!H70/'3. Monthly'!I70,"")</f>
        <v/>
      </c>
      <c r="G70" s="4">
        <f>IF('3. Monthly'!J70="","",'3. Monthly'!J70)</f>
        <v/>
      </c>
      <c r="H70" s="4">
        <f>IFERROR('3. Monthly'!K70/'3. Monthly'!L70,"")</f>
        <v/>
      </c>
      <c r="I70" s="21">
        <f>IFERROR('3. Monthly'!M70/'3. Monthly'!K70,"")</f>
        <v/>
      </c>
      <c r="J70" s="4">
        <f>IF('3. Monthly'!N70="","",'3. Monthly'!N70)</f>
        <v/>
      </c>
      <c r="K70" s="21">
        <f>IFERROR(('3. Monthly'!O70-'3. Monthly'!P70)/'3. Monthly'!O70,"")</f>
        <v/>
      </c>
      <c r="L70" s="21">
        <f>IFERROR('3. Monthly'!Q70/'3. Monthly'!G70,"")</f>
        <v/>
      </c>
      <c r="M70" s="21">
        <f>IFERROR('3. Monthly'!R70/'3. Monthly'!F70,"")</f>
        <v/>
      </c>
      <c r="N70" s="21">
        <f>IF('3. Monthly'!S70="","",'3. Monthly'!S70)</f>
        <v/>
      </c>
      <c r="O70" s="4">
        <f>IF('3. Monthly'!T70="","",'3. Monthly'!T70)</f>
        <v/>
      </c>
      <c r="P70" s="21">
        <f>IFERROR('3. Monthly'!U70/'3. Monthly'!H70,"")</f>
        <v/>
      </c>
      <c r="Q70" s="21">
        <f>IFERROR('3. Monthly'!V70/'3. Monthly'!H70,"")</f>
        <v/>
      </c>
      <c r="R70" s="21">
        <f>IFERROR('3. Monthly'!W70/'3. Monthly'!H70,"")</f>
        <v/>
      </c>
      <c r="S70" s="4">
        <f>IF('3. Monthly'!X70="","",'3. Monthly'!X70)</f>
        <v/>
      </c>
    </row>
    <row r="71">
      <c r="A71" s="4">
        <f>IF('3. Monthly'!A71="","",'3. Monthly'!A71)</f>
        <v/>
      </c>
      <c r="B71" s="20">
        <f>IF('3. Monthly'!A71="","",'3. Monthly'!B71)</f>
        <v/>
      </c>
      <c r="C71" s="4">
        <f>IF('3. Monthly'!A71="","",'3. Monthly'!C71)</f>
        <v/>
      </c>
      <c r="D71" s="21">
        <f>IFERROR('3. Monthly'!D71/'3. Monthly'!E71,"")</f>
        <v/>
      </c>
      <c r="E71" s="21">
        <f>IFERROR('3. Monthly'!F71/'3. Monthly'!G71,"")</f>
        <v/>
      </c>
      <c r="F71" s="21">
        <f>IFERROR('3. Monthly'!H71/'3. Monthly'!I71,"")</f>
        <v/>
      </c>
      <c r="G71" s="4">
        <f>IF('3. Monthly'!J71="","",'3. Monthly'!J71)</f>
        <v/>
      </c>
      <c r="H71" s="4">
        <f>IFERROR('3. Monthly'!K71/'3. Monthly'!L71,"")</f>
        <v/>
      </c>
      <c r="I71" s="21">
        <f>IFERROR('3. Monthly'!M71/'3. Monthly'!K71,"")</f>
        <v/>
      </c>
      <c r="J71" s="4">
        <f>IF('3. Monthly'!N71="","",'3. Monthly'!N71)</f>
        <v/>
      </c>
      <c r="K71" s="21">
        <f>IFERROR(('3. Monthly'!O71-'3. Monthly'!P71)/'3. Monthly'!O71,"")</f>
        <v/>
      </c>
      <c r="L71" s="21">
        <f>IFERROR('3. Monthly'!Q71/'3. Monthly'!G71,"")</f>
        <v/>
      </c>
      <c r="M71" s="21">
        <f>IFERROR('3. Monthly'!R71/'3. Monthly'!F71,"")</f>
        <v/>
      </c>
      <c r="N71" s="21">
        <f>IF('3. Monthly'!S71="","",'3. Monthly'!S71)</f>
        <v/>
      </c>
      <c r="O71" s="4">
        <f>IF('3. Monthly'!T71="","",'3. Monthly'!T71)</f>
        <v/>
      </c>
      <c r="P71" s="21">
        <f>IFERROR('3. Monthly'!U71/'3. Monthly'!H71,"")</f>
        <v/>
      </c>
      <c r="Q71" s="21">
        <f>IFERROR('3. Monthly'!V71/'3. Monthly'!H71,"")</f>
        <v/>
      </c>
      <c r="R71" s="21">
        <f>IFERROR('3. Monthly'!W71/'3. Monthly'!H71,"")</f>
        <v/>
      </c>
      <c r="S71" s="4">
        <f>IF('3. Monthly'!X71="","",'3. Monthly'!X71)</f>
        <v/>
      </c>
    </row>
    <row r="72">
      <c r="A72" s="4">
        <f>IF('3. Monthly'!A72="","",'3. Monthly'!A72)</f>
        <v/>
      </c>
      <c r="B72" s="20">
        <f>IF('3. Monthly'!A72="","",'3. Monthly'!B72)</f>
        <v/>
      </c>
      <c r="C72" s="4">
        <f>IF('3. Monthly'!A72="","",'3. Monthly'!C72)</f>
        <v/>
      </c>
      <c r="D72" s="21">
        <f>IFERROR('3. Monthly'!D72/'3. Monthly'!E72,"")</f>
        <v/>
      </c>
      <c r="E72" s="21">
        <f>IFERROR('3. Monthly'!F72/'3. Monthly'!G72,"")</f>
        <v/>
      </c>
      <c r="F72" s="21">
        <f>IFERROR('3. Monthly'!H72/'3. Monthly'!I72,"")</f>
        <v/>
      </c>
      <c r="G72" s="4">
        <f>IF('3. Monthly'!J72="","",'3. Monthly'!J72)</f>
        <v/>
      </c>
      <c r="H72" s="4">
        <f>IFERROR('3. Monthly'!K72/'3. Monthly'!L72,"")</f>
        <v/>
      </c>
      <c r="I72" s="21">
        <f>IFERROR('3. Monthly'!M72/'3. Monthly'!K72,"")</f>
        <v/>
      </c>
      <c r="J72" s="4">
        <f>IF('3. Monthly'!N72="","",'3. Monthly'!N72)</f>
        <v/>
      </c>
      <c r="K72" s="21">
        <f>IFERROR(('3. Monthly'!O72-'3. Monthly'!P72)/'3. Monthly'!O72,"")</f>
        <v/>
      </c>
      <c r="L72" s="21">
        <f>IFERROR('3. Monthly'!Q72/'3. Monthly'!G72,"")</f>
        <v/>
      </c>
      <c r="M72" s="21">
        <f>IFERROR('3. Monthly'!R72/'3. Monthly'!F72,"")</f>
        <v/>
      </c>
      <c r="N72" s="21">
        <f>IF('3. Monthly'!S72="","",'3. Monthly'!S72)</f>
        <v/>
      </c>
      <c r="O72" s="4">
        <f>IF('3. Monthly'!T72="","",'3. Monthly'!T72)</f>
        <v/>
      </c>
      <c r="P72" s="21">
        <f>IFERROR('3. Monthly'!U72/'3. Monthly'!H72,"")</f>
        <v/>
      </c>
      <c r="Q72" s="21">
        <f>IFERROR('3. Monthly'!V72/'3. Monthly'!H72,"")</f>
        <v/>
      </c>
      <c r="R72" s="21">
        <f>IFERROR('3. Monthly'!W72/'3. Monthly'!H72,"")</f>
        <v/>
      </c>
      <c r="S72" s="4">
        <f>IF('3. Monthly'!X72="","",'3. Monthly'!X72)</f>
        <v/>
      </c>
    </row>
    <row r="73">
      <c r="A73" s="4">
        <f>IF('3. Monthly'!A73="","",'3. Monthly'!A73)</f>
        <v/>
      </c>
      <c r="B73" s="20">
        <f>IF('3. Monthly'!A73="","",'3. Monthly'!B73)</f>
        <v/>
      </c>
      <c r="C73" s="4">
        <f>IF('3. Monthly'!A73="","",'3. Monthly'!C73)</f>
        <v/>
      </c>
      <c r="D73" s="21">
        <f>IFERROR('3. Monthly'!D73/'3. Monthly'!E73,"")</f>
        <v/>
      </c>
      <c r="E73" s="21">
        <f>IFERROR('3. Monthly'!F73/'3. Monthly'!G73,"")</f>
        <v/>
      </c>
      <c r="F73" s="21">
        <f>IFERROR('3. Monthly'!H73/'3. Monthly'!I73,"")</f>
        <v/>
      </c>
      <c r="G73" s="4">
        <f>IF('3. Monthly'!J73="","",'3. Monthly'!J73)</f>
        <v/>
      </c>
      <c r="H73" s="4">
        <f>IFERROR('3. Monthly'!K73/'3. Monthly'!L73,"")</f>
        <v/>
      </c>
      <c r="I73" s="21">
        <f>IFERROR('3. Monthly'!M73/'3. Monthly'!K73,"")</f>
        <v/>
      </c>
      <c r="J73" s="4">
        <f>IF('3. Monthly'!N73="","",'3. Monthly'!N73)</f>
        <v/>
      </c>
      <c r="K73" s="21">
        <f>IFERROR(('3. Monthly'!O73-'3. Monthly'!P73)/'3. Monthly'!O73,"")</f>
        <v/>
      </c>
      <c r="L73" s="21">
        <f>IFERROR('3. Monthly'!Q73/'3. Monthly'!G73,"")</f>
        <v/>
      </c>
      <c r="M73" s="21">
        <f>IFERROR('3. Monthly'!R73/'3. Monthly'!F73,"")</f>
        <v/>
      </c>
      <c r="N73" s="21">
        <f>IF('3. Monthly'!S73="","",'3. Monthly'!S73)</f>
        <v/>
      </c>
      <c r="O73" s="4">
        <f>IF('3. Monthly'!T73="","",'3. Monthly'!T73)</f>
        <v/>
      </c>
      <c r="P73" s="21">
        <f>IFERROR('3. Monthly'!U73/'3. Monthly'!H73,"")</f>
        <v/>
      </c>
      <c r="Q73" s="21">
        <f>IFERROR('3. Monthly'!V73/'3. Monthly'!H73,"")</f>
        <v/>
      </c>
      <c r="R73" s="21">
        <f>IFERROR('3. Monthly'!W73/'3. Monthly'!H73,"")</f>
        <v/>
      </c>
      <c r="S73" s="4">
        <f>IF('3. Monthly'!X73="","",'3. Monthly'!X73)</f>
        <v/>
      </c>
    </row>
    <row r="74">
      <c r="A74" s="4">
        <f>IF('3. Monthly'!A74="","",'3. Monthly'!A74)</f>
        <v/>
      </c>
      <c r="B74" s="20">
        <f>IF('3. Monthly'!A74="","",'3. Monthly'!B74)</f>
        <v/>
      </c>
      <c r="C74" s="4">
        <f>IF('3. Monthly'!A74="","",'3. Monthly'!C74)</f>
        <v/>
      </c>
      <c r="D74" s="21">
        <f>IFERROR('3. Monthly'!D74/'3. Monthly'!E74,"")</f>
        <v/>
      </c>
      <c r="E74" s="21">
        <f>IFERROR('3. Monthly'!F74/'3. Monthly'!G74,"")</f>
        <v/>
      </c>
      <c r="F74" s="21">
        <f>IFERROR('3. Monthly'!H74/'3. Monthly'!I74,"")</f>
        <v/>
      </c>
      <c r="G74" s="4">
        <f>IF('3. Monthly'!J74="","",'3. Monthly'!J74)</f>
        <v/>
      </c>
      <c r="H74" s="4">
        <f>IFERROR('3. Monthly'!K74/'3. Monthly'!L74,"")</f>
        <v/>
      </c>
      <c r="I74" s="21">
        <f>IFERROR('3. Monthly'!M74/'3. Monthly'!K74,"")</f>
        <v/>
      </c>
      <c r="J74" s="4">
        <f>IF('3. Monthly'!N74="","",'3. Monthly'!N74)</f>
        <v/>
      </c>
      <c r="K74" s="21">
        <f>IFERROR(('3. Monthly'!O74-'3. Monthly'!P74)/'3. Monthly'!O74,"")</f>
        <v/>
      </c>
      <c r="L74" s="21">
        <f>IFERROR('3. Monthly'!Q74/'3. Monthly'!G74,"")</f>
        <v/>
      </c>
      <c r="M74" s="21">
        <f>IFERROR('3. Monthly'!R74/'3. Monthly'!F74,"")</f>
        <v/>
      </c>
      <c r="N74" s="21">
        <f>IF('3. Monthly'!S74="","",'3. Monthly'!S74)</f>
        <v/>
      </c>
      <c r="O74" s="4">
        <f>IF('3. Monthly'!T74="","",'3. Monthly'!T74)</f>
        <v/>
      </c>
      <c r="P74" s="21">
        <f>IFERROR('3. Monthly'!U74/'3. Monthly'!H74,"")</f>
        <v/>
      </c>
      <c r="Q74" s="21">
        <f>IFERROR('3. Monthly'!V74/'3. Monthly'!H74,"")</f>
        <v/>
      </c>
      <c r="R74" s="21">
        <f>IFERROR('3. Monthly'!W74/'3. Monthly'!H74,"")</f>
        <v/>
      </c>
      <c r="S74" s="4">
        <f>IF('3. Monthly'!X74="","",'3. Monthly'!X74)</f>
        <v/>
      </c>
    </row>
    <row r="75">
      <c r="A75" s="4">
        <f>IF('3. Monthly'!A75="","",'3. Monthly'!A75)</f>
        <v/>
      </c>
      <c r="B75" s="20">
        <f>IF('3. Monthly'!A75="","",'3. Monthly'!B75)</f>
        <v/>
      </c>
      <c r="C75" s="4">
        <f>IF('3. Monthly'!A75="","",'3. Monthly'!C75)</f>
        <v/>
      </c>
      <c r="D75" s="21">
        <f>IFERROR('3. Monthly'!D75/'3. Monthly'!E75,"")</f>
        <v/>
      </c>
      <c r="E75" s="21">
        <f>IFERROR('3. Monthly'!F75/'3. Monthly'!G75,"")</f>
        <v/>
      </c>
      <c r="F75" s="21">
        <f>IFERROR('3. Monthly'!H75/'3. Monthly'!I75,"")</f>
        <v/>
      </c>
      <c r="G75" s="4">
        <f>IF('3. Monthly'!J75="","",'3. Monthly'!J75)</f>
        <v/>
      </c>
      <c r="H75" s="4">
        <f>IFERROR('3. Monthly'!K75/'3. Monthly'!L75,"")</f>
        <v/>
      </c>
      <c r="I75" s="21">
        <f>IFERROR('3. Monthly'!M75/'3. Monthly'!K75,"")</f>
        <v/>
      </c>
      <c r="J75" s="4">
        <f>IF('3. Monthly'!N75="","",'3. Monthly'!N75)</f>
        <v/>
      </c>
      <c r="K75" s="21">
        <f>IFERROR(('3. Monthly'!O75-'3. Monthly'!P75)/'3. Monthly'!O75,"")</f>
        <v/>
      </c>
      <c r="L75" s="21">
        <f>IFERROR('3. Monthly'!Q75/'3. Monthly'!G75,"")</f>
        <v/>
      </c>
      <c r="M75" s="21">
        <f>IFERROR('3. Monthly'!R75/'3. Monthly'!F75,"")</f>
        <v/>
      </c>
      <c r="N75" s="21">
        <f>IF('3. Monthly'!S75="","",'3. Monthly'!S75)</f>
        <v/>
      </c>
      <c r="O75" s="4">
        <f>IF('3. Monthly'!T75="","",'3. Monthly'!T75)</f>
        <v/>
      </c>
      <c r="P75" s="21">
        <f>IFERROR('3. Monthly'!U75/'3. Monthly'!H75,"")</f>
        <v/>
      </c>
      <c r="Q75" s="21">
        <f>IFERROR('3. Monthly'!V75/'3. Monthly'!H75,"")</f>
        <v/>
      </c>
      <c r="R75" s="21">
        <f>IFERROR('3. Monthly'!W75/'3. Monthly'!H75,"")</f>
        <v/>
      </c>
      <c r="S75" s="4">
        <f>IF('3. Monthly'!X75="","",'3. Monthly'!X75)</f>
        <v/>
      </c>
    </row>
    <row r="76">
      <c r="A76" s="4">
        <f>IF('3. Monthly'!A76="","",'3. Monthly'!A76)</f>
        <v/>
      </c>
      <c r="B76" s="20">
        <f>IF('3. Monthly'!A76="","",'3. Monthly'!B76)</f>
        <v/>
      </c>
      <c r="C76" s="4">
        <f>IF('3. Monthly'!A76="","",'3. Monthly'!C76)</f>
        <v/>
      </c>
      <c r="D76" s="21">
        <f>IFERROR('3. Monthly'!D76/'3. Monthly'!E76,"")</f>
        <v/>
      </c>
      <c r="E76" s="21">
        <f>IFERROR('3. Monthly'!F76/'3. Monthly'!G76,"")</f>
        <v/>
      </c>
      <c r="F76" s="21">
        <f>IFERROR('3. Monthly'!H76/'3. Monthly'!I76,"")</f>
        <v/>
      </c>
      <c r="G76" s="4">
        <f>IF('3. Monthly'!J76="","",'3. Monthly'!J76)</f>
        <v/>
      </c>
      <c r="H76" s="4">
        <f>IFERROR('3. Monthly'!K76/'3. Monthly'!L76,"")</f>
        <v/>
      </c>
      <c r="I76" s="21">
        <f>IFERROR('3. Monthly'!M76/'3. Monthly'!K76,"")</f>
        <v/>
      </c>
      <c r="J76" s="4">
        <f>IF('3. Monthly'!N76="","",'3. Monthly'!N76)</f>
        <v/>
      </c>
      <c r="K76" s="21">
        <f>IFERROR(('3. Monthly'!O76-'3. Monthly'!P76)/'3. Monthly'!O76,"")</f>
        <v/>
      </c>
      <c r="L76" s="21">
        <f>IFERROR('3. Monthly'!Q76/'3. Monthly'!G76,"")</f>
        <v/>
      </c>
      <c r="M76" s="21">
        <f>IFERROR('3. Monthly'!R76/'3. Monthly'!F76,"")</f>
        <v/>
      </c>
      <c r="N76" s="21">
        <f>IF('3. Monthly'!S76="","",'3. Monthly'!S76)</f>
        <v/>
      </c>
      <c r="O76" s="4">
        <f>IF('3. Monthly'!T76="","",'3. Monthly'!T76)</f>
        <v/>
      </c>
      <c r="P76" s="21">
        <f>IFERROR('3. Monthly'!U76/'3. Monthly'!H76,"")</f>
        <v/>
      </c>
      <c r="Q76" s="21">
        <f>IFERROR('3. Monthly'!V76/'3. Monthly'!H76,"")</f>
        <v/>
      </c>
      <c r="R76" s="21">
        <f>IFERROR('3. Monthly'!W76/'3. Monthly'!H76,"")</f>
        <v/>
      </c>
      <c r="S76" s="4">
        <f>IF('3. Monthly'!X76="","",'3. Monthly'!X76)</f>
        <v/>
      </c>
    </row>
    <row r="77">
      <c r="A77" s="4">
        <f>IF('3. Monthly'!A77="","",'3. Monthly'!A77)</f>
        <v/>
      </c>
      <c r="B77" s="20">
        <f>IF('3. Monthly'!A77="","",'3. Monthly'!B77)</f>
        <v/>
      </c>
      <c r="C77" s="4">
        <f>IF('3. Monthly'!A77="","",'3. Monthly'!C77)</f>
        <v/>
      </c>
      <c r="D77" s="21">
        <f>IFERROR('3. Monthly'!D77/'3. Monthly'!E77,"")</f>
        <v/>
      </c>
      <c r="E77" s="21">
        <f>IFERROR('3. Monthly'!F77/'3. Monthly'!G77,"")</f>
        <v/>
      </c>
      <c r="F77" s="21">
        <f>IFERROR('3. Monthly'!H77/'3. Monthly'!I77,"")</f>
        <v/>
      </c>
      <c r="G77" s="4">
        <f>IF('3. Monthly'!J77="","",'3. Monthly'!J77)</f>
        <v/>
      </c>
      <c r="H77" s="4">
        <f>IFERROR('3. Monthly'!K77/'3. Monthly'!L77,"")</f>
        <v/>
      </c>
      <c r="I77" s="21">
        <f>IFERROR('3. Monthly'!M77/'3. Monthly'!K77,"")</f>
        <v/>
      </c>
      <c r="J77" s="4">
        <f>IF('3. Monthly'!N77="","",'3. Monthly'!N77)</f>
        <v/>
      </c>
      <c r="K77" s="21">
        <f>IFERROR(('3. Monthly'!O77-'3. Monthly'!P77)/'3. Monthly'!O77,"")</f>
        <v/>
      </c>
      <c r="L77" s="21">
        <f>IFERROR('3. Monthly'!Q77/'3. Monthly'!G77,"")</f>
        <v/>
      </c>
      <c r="M77" s="21">
        <f>IFERROR('3. Monthly'!R77/'3. Monthly'!F77,"")</f>
        <v/>
      </c>
      <c r="N77" s="21">
        <f>IF('3. Monthly'!S77="","",'3. Monthly'!S77)</f>
        <v/>
      </c>
      <c r="O77" s="4">
        <f>IF('3. Monthly'!T77="","",'3. Monthly'!T77)</f>
        <v/>
      </c>
      <c r="P77" s="21">
        <f>IFERROR('3. Monthly'!U77/'3. Monthly'!H77,"")</f>
        <v/>
      </c>
      <c r="Q77" s="21">
        <f>IFERROR('3. Monthly'!V77/'3. Monthly'!H77,"")</f>
        <v/>
      </c>
      <c r="R77" s="21">
        <f>IFERROR('3. Monthly'!W77/'3. Monthly'!H77,"")</f>
        <v/>
      </c>
      <c r="S77" s="4">
        <f>IF('3. Monthly'!X77="","",'3. Monthly'!X77)</f>
        <v/>
      </c>
    </row>
    <row r="78">
      <c r="A78" s="4">
        <f>IF('3. Monthly'!A78="","",'3. Monthly'!A78)</f>
        <v/>
      </c>
      <c r="B78" s="20">
        <f>IF('3. Monthly'!A78="","",'3. Monthly'!B78)</f>
        <v/>
      </c>
      <c r="C78" s="4">
        <f>IF('3. Monthly'!A78="","",'3. Monthly'!C78)</f>
        <v/>
      </c>
      <c r="D78" s="21">
        <f>IFERROR('3. Monthly'!D78/'3. Monthly'!E78,"")</f>
        <v/>
      </c>
      <c r="E78" s="21">
        <f>IFERROR('3. Monthly'!F78/'3. Monthly'!G78,"")</f>
        <v/>
      </c>
      <c r="F78" s="21">
        <f>IFERROR('3. Monthly'!H78/'3. Monthly'!I78,"")</f>
        <v/>
      </c>
      <c r="G78" s="4">
        <f>IF('3. Monthly'!J78="","",'3. Monthly'!J78)</f>
        <v/>
      </c>
      <c r="H78" s="4">
        <f>IFERROR('3. Monthly'!K78/'3. Monthly'!L78,"")</f>
        <v/>
      </c>
      <c r="I78" s="21">
        <f>IFERROR('3. Monthly'!M78/'3. Monthly'!K78,"")</f>
        <v/>
      </c>
      <c r="J78" s="4">
        <f>IF('3. Monthly'!N78="","",'3. Monthly'!N78)</f>
        <v/>
      </c>
      <c r="K78" s="21">
        <f>IFERROR(('3. Monthly'!O78-'3. Monthly'!P78)/'3. Monthly'!O78,"")</f>
        <v/>
      </c>
      <c r="L78" s="21">
        <f>IFERROR('3. Monthly'!Q78/'3. Monthly'!G78,"")</f>
        <v/>
      </c>
      <c r="M78" s="21">
        <f>IFERROR('3. Monthly'!R78/'3. Monthly'!F78,"")</f>
        <v/>
      </c>
      <c r="N78" s="21">
        <f>IF('3. Monthly'!S78="","",'3. Monthly'!S78)</f>
        <v/>
      </c>
      <c r="O78" s="4">
        <f>IF('3. Monthly'!T78="","",'3. Monthly'!T78)</f>
        <v/>
      </c>
      <c r="P78" s="21">
        <f>IFERROR('3. Monthly'!U78/'3. Monthly'!H78,"")</f>
        <v/>
      </c>
      <c r="Q78" s="21">
        <f>IFERROR('3. Monthly'!V78/'3. Monthly'!H78,"")</f>
        <v/>
      </c>
      <c r="R78" s="21">
        <f>IFERROR('3. Monthly'!W78/'3. Monthly'!H78,"")</f>
        <v/>
      </c>
      <c r="S78" s="4">
        <f>IF('3. Monthly'!X78="","",'3. Monthly'!X78)</f>
        <v/>
      </c>
    </row>
    <row r="79">
      <c r="A79" s="4">
        <f>IF('3. Monthly'!A79="","",'3. Monthly'!A79)</f>
        <v/>
      </c>
      <c r="B79" s="20">
        <f>IF('3. Monthly'!A79="","",'3. Monthly'!B79)</f>
        <v/>
      </c>
      <c r="C79" s="4">
        <f>IF('3. Monthly'!A79="","",'3. Monthly'!C79)</f>
        <v/>
      </c>
      <c r="D79" s="21">
        <f>IFERROR('3. Monthly'!D79/'3. Monthly'!E79,"")</f>
        <v/>
      </c>
      <c r="E79" s="21">
        <f>IFERROR('3. Monthly'!F79/'3. Monthly'!G79,"")</f>
        <v/>
      </c>
      <c r="F79" s="21">
        <f>IFERROR('3. Monthly'!H79/'3. Monthly'!I79,"")</f>
        <v/>
      </c>
      <c r="G79" s="4">
        <f>IF('3. Monthly'!J79="","",'3. Monthly'!J79)</f>
        <v/>
      </c>
      <c r="H79" s="4">
        <f>IFERROR('3. Monthly'!K79/'3. Monthly'!L79,"")</f>
        <v/>
      </c>
      <c r="I79" s="21">
        <f>IFERROR('3. Monthly'!M79/'3. Monthly'!K79,"")</f>
        <v/>
      </c>
      <c r="J79" s="4">
        <f>IF('3. Monthly'!N79="","",'3. Monthly'!N79)</f>
        <v/>
      </c>
      <c r="K79" s="21">
        <f>IFERROR(('3. Monthly'!O79-'3. Monthly'!P79)/'3. Monthly'!O79,"")</f>
        <v/>
      </c>
      <c r="L79" s="21">
        <f>IFERROR('3. Monthly'!Q79/'3. Monthly'!G79,"")</f>
        <v/>
      </c>
      <c r="M79" s="21">
        <f>IFERROR('3. Monthly'!R79/'3. Monthly'!F79,"")</f>
        <v/>
      </c>
      <c r="N79" s="21">
        <f>IF('3. Monthly'!S79="","",'3. Monthly'!S79)</f>
        <v/>
      </c>
      <c r="O79" s="4">
        <f>IF('3. Monthly'!T79="","",'3. Monthly'!T79)</f>
        <v/>
      </c>
      <c r="P79" s="21">
        <f>IFERROR('3. Monthly'!U79/'3. Monthly'!H79,"")</f>
        <v/>
      </c>
      <c r="Q79" s="21">
        <f>IFERROR('3. Monthly'!V79/'3. Monthly'!H79,"")</f>
        <v/>
      </c>
      <c r="R79" s="21">
        <f>IFERROR('3. Monthly'!W79/'3. Monthly'!H79,"")</f>
        <v/>
      </c>
      <c r="S79" s="4">
        <f>IF('3. Monthly'!X79="","",'3. Monthly'!X79)</f>
        <v/>
      </c>
    </row>
    <row r="80">
      <c r="A80" s="4">
        <f>IF('3. Monthly'!A80="","",'3. Monthly'!A80)</f>
        <v/>
      </c>
      <c r="B80" s="20">
        <f>IF('3. Monthly'!A80="","",'3. Monthly'!B80)</f>
        <v/>
      </c>
      <c r="C80" s="4">
        <f>IF('3. Monthly'!A80="","",'3. Monthly'!C80)</f>
        <v/>
      </c>
      <c r="D80" s="21">
        <f>IFERROR('3. Monthly'!D80/'3. Monthly'!E80,"")</f>
        <v/>
      </c>
      <c r="E80" s="21">
        <f>IFERROR('3. Monthly'!F80/'3. Monthly'!G80,"")</f>
        <v/>
      </c>
      <c r="F80" s="21">
        <f>IFERROR('3. Monthly'!H80/'3. Monthly'!I80,"")</f>
        <v/>
      </c>
      <c r="G80" s="4">
        <f>IF('3. Monthly'!J80="","",'3. Monthly'!J80)</f>
        <v/>
      </c>
      <c r="H80" s="4">
        <f>IFERROR('3. Monthly'!K80/'3. Monthly'!L80,"")</f>
        <v/>
      </c>
      <c r="I80" s="21">
        <f>IFERROR('3. Monthly'!M80/'3. Monthly'!K80,"")</f>
        <v/>
      </c>
      <c r="J80" s="4">
        <f>IF('3. Monthly'!N80="","",'3. Monthly'!N80)</f>
        <v/>
      </c>
      <c r="K80" s="21">
        <f>IFERROR(('3. Monthly'!O80-'3. Monthly'!P80)/'3. Monthly'!O80,"")</f>
        <v/>
      </c>
      <c r="L80" s="21">
        <f>IFERROR('3. Monthly'!Q80/'3. Monthly'!G80,"")</f>
        <v/>
      </c>
      <c r="M80" s="21">
        <f>IFERROR('3. Monthly'!R80/'3. Monthly'!F80,"")</f>
        <v/>
      </c>
      <c r="N80" s="21">
        <f>IF('3. Monthly'!S80="","",'3. Monthly'!S80)</f>
        <v/>
      </c>
      <c r="O80" s="4">
        <f>IF('3. Monthly'!T80="","",'3. Monthly'!T80)</f>
        <v/>
      </c>
      <c r="P80" s="21">
        <f>IFERROR('3. Monthly'!U80/'3. Monthly'!H80,"")</f>
        <v/>
      </c>
      <c r="Q80" s="21">
        <f>IFERROR('3. Monthly'!V80/'3. Monthly'!H80,"")</f>
        <v/>
      </c>
      <c r="R80" s="21">
        <f>IFERROR('3. Monthly'!W80/'3. Monthly'!H80,"")</f>
        <v/>
      </c>
      <c r="S80" s="4">
        <f>IF('3. Monthly'!X80="","",'3. Monthly'!X80)</f>
        <v/>
      </c>
    </row>
    <row r="81">
      <c r="A81" s="4">
        <f>IF('3. Monthly'!A81="","",'3. Monthly'!A81)</f>
        <v/>
      </c>
      <c r="B81" s="20">
        <f>IF('3. Monthly'!A81="","",'3. Monthly'!B81)</f>
        <v/>
      </c>
      <c r="C81" s="4">
        <f>IF('3. Monthly'!A81="","",'3. Monthly'!C81)</f>
        <v/>
      </c>
      <c r="D81" s="21">
        <f>IFERROR('3. Monthly'!D81/'3. Monthly'!E81,"")</f>
        <v/>
      </c>
      <c r="E81" s="21">
        <f>IFERROR('3. Monthly'!F81/'3. Monthly'!G81,"")</f>
        <v/>
      </c>
      <c r="F81" s="21">
        <f>IFERROR('3. Monthly'!H81/'3. Monthly'!I81,"")</f>
        <v/>
      </c>
      <c r="G81" s="4">
        <f>IF('3. Monthly'!J81="","",'3. Monthly'!J81)</f>
        <v/>
      </c>
      <c r="H81" s="4">
        <f>IFERROR('3. Monthly'!K81/'3. Monthly'!L81,"")</f>
        <v/>
      </c>
      <c r="I81" s="21">
        <f>IFERROR('3. Monthly'!M81/'3. Monthly'!K81,"")</f>
        <v/>
      </c>
      <c r="J81" s="4">
        <f>IF('3. Monthly'!N81="","",'3. Monthly'!N81)</f>
        <v/>
      </c>
      <c r="K81" s="21">
        <f>IFERROR(('3. Monthly'!O81-'3. Monthly'!P81)/'3. Monthly'!O81,"")</f>
        <v/>
      </c>
      <c r="L81" s="21">
        <f>IFERROR('3. Monthly'!Q81/'3. Monthly'!G81,"")</f>
        <v/>
      </c>
      <c r="M81" s="21">
        <f>IFERROR('3. Monthly'!R81/'3. Monthly'!F81,"")</f>
        <v/>
      </c>
      <c r="N81" s="21">
        <f>IF('3. Monthly'!S81="","",'3. Monthly'!S81)</f>
        <v/>
      </c>
      <c r="O81" s="4">
        <f>IF('3. Monthly'!T81="","",'3. Monthly'!T81)</f>
        <v/>
      </c>
      <c r="P81" s="21">
        <f>IFERROR('3. Monthly'!U81/'3. Monthly'!H81,"")</f>
        <v/>
      </c>
      <c r="Q81" s="21">
        <f>IFERROR('3. Monthly'!V81/'3. Monthly'!H81,"")</f>
        <v/>
      </c>
      <c r="R81" s="21">
        <f>IFERROR('3. Monthly'!W81/'3. Monthly'!H81,"")</f>
        <v/>
      </c>
      <c r="S81" s="4">
        <f>IF('3. Monthly'!X81="","",'3. Monthly'!X81)</f>
        <v/>
      </c>
    </row>
    <row r="82">
      <c r="A82" s="4">
        <f>IF('3. Monthly'!A82="","",'3. Monthly'!A82)</f>
        <v/>
      </c>
      <c r="B82" s="20">
        <f>IF('3. Monthly'!A82="","",'3. Monthly'!B82)</f>
        <v/>
      </c>
      <c r="C82" s="4">
        <f>IF('3. Monthly'!A82="","",'3. Monthly'!C82)</f>
        <v/>
      </c>
      <c r="D82" s="21">
        <f>IFERROR('3. Monthly'!D82/'3. Monthly'!E82,"")</f>
        <v/>
      </c>
      <c r="E82" s="21">
        <f>IFERROR('3. Monthly'!F82/'3. Monthly'!G82,"")</f>
        <v/>
      </c>
      <c r="F82" s="21">
        <f>IFERROR('3. Monthly'!H82/'3. Monthly'!I82,"")</f>
        <v/>
      </c>
      <c r="G82" s="4">
        <f>IF('3. Monthly'!J82="","",'3. Monthly'!J82)</f>
        <v/>
      </c>
      <c r="H82" s="4">
        <f>IFERROR('3. Monthly'!K82/'3. Monthly'!L82,"")</f>
        <v/>
      </c>
      <c r="I82" s="21">
        <f>IFERROR('3. Monthly'!M82/'3. Monthly'!K82,"")</f>
        <v/>
      </c>
      <c r="J82" s="4">
        <f>IF('3. Monthly'!N82="","",'3. Monthly'!N82)</f>
        <v/>
      </c>
      <c r="K82" s="21">
        <f>IFERROR(('3. Monthly'!O82-'3. Monthly'!P82)/'3. Monthly'!O82,"")</f>
        <v/>
      </c>
      <c r="L82" s="21">
        <f>IFERROR('3. Monthly'!Q82/'3. Monthly'!G82,"")</f>
        <v/>
      </c>
      <c r="M82" s="21">
        <f>IFERROR('3. Monthly'!R82/'3. Monthly'!F82,"")</f>
        <v/>
      </c>
      <c r="N82" s="21">
        <f>IF('3. Monthly'!S82="","",'3. Monthly'!S82)</f>
        <v/>
      </c>
      <c r="O82" s="4">
        <f>IF('3. Monthly'!T82="","",'3. Monthly'!T82)</f>
        <v/>
      </c>
      <c r="P82" s="21">
        <f>IFERROR('3. Monthly'!U82/'3. Monthly'!H82,"")</f>
        <v/>
      </c>
      <c r="Q82" s="21">
        <f>IFERROR('3. Monthly'!V82/'3. Monthly'!H82,"")</f>
        <v/>
      </c>
      <c r="R82" s="21">
        <f>IFERROR('3. Monthly'!W82/'3. Monthly'!H82,"")</f>
        <v/>
      </c>
      <c r="S82" s="4">
        <f>IF('3. Monthly'!X82="","",'3. Monthly'!X82)</f>
        <v/>
      </c>
    </row>
    <row r="83">
      <c r="A83" s="4">
        <f>IF('3. Monthly'!A83="","",'3. Monthly'!A83)</f>
        <v/>
      </c>
      <c r="B83" s="20">
        <f>IF('3. Monthly'!A83="","",'3. Monthly'!B83)</f>
        <v/>
      </c>
      <c r="C83" s="4">
        <f>IF('3. Monthly'!A83="","",'3. Monthly'!C83)</f>
        <v/>
      </c>
      <c r="D83" s="21">
        <f>IFERROR('3. Monthly'!D83/'3. Monthly'!E83,"")</f>
        <v/>
      </c>
      <c r="E83" s="21">
        <f>IFERROR('3. Monthly'!F83/'3. Monthly'!G83,"")</f>
        <v/>
      </c>
      <c r="F83" s="21">
        <f>IFERROR('3. Monthly'!H83/'3. Monthly'!I83,"")</f>
        <v/>
      </c>
      <c r="G83" s="4">
        <f>IF('3. Monthly'!J83="","",'3. Monthly'!J83)</f>
        <v/>
      </c>
      <c r="H83" s="4">
        <f>IFERROR('3. Monthly'!K83/'3. Monthly'!L83,"")</f>
        <v/>
      </c>
      <c r="I83" s="21">
        <f>IFERROR('3. Monthly'!M83/'3. Monthly'!K83,"")</f>
        <v/>
      </c>
      <c r="J83" s="4">
        <f>IF('3. Monthly'!N83="","",'3. Monthly'!N83)</f>
        <v/>
      </c>
      <c r="K83" s="21">
        <f>IFERROR(('3. Monthly'!O83-'3. Monthly'!P83)/'3. Monthly'!O83,"")</f>
        <v/>
      </c>
      <c r="L83" s="21">
        <f>IFERROR('3. Monthly'!Q83/'3. Monthly'!G83,"")</f>
        <v/>
      </c>
      <c r="M83" s="21">
        <f>IFERROR('3. Monthly'!R83/'3. Monthly'!F83,"")</f>
        <v/>
      </c>
      <c r="N83" s="21">
        <f>IF('3. Monthly'!S83="","",'3. Monthly'!S83)</f>
        <v/>
      </c>
      <c r="O83" s="4">
        <f>IF('3. Monthly'!T83="","",'3. Monthly'!T83)</f>
        <v/>
      </c>
      <c r="P83" s="21">
        <f>IFERROR('3. Monthly'!U83/'3. Monthly'!H83,"")</f>
        <v/>
      </c>
      <c r="Q83" s="21">
        <f>IFERROR('3. Monthly'!V83/'3. Monthly'!H83,"")</f>
        <v/>
      </c>
      <c r="R83" s="21">
        <f>IFERROR('3. Monthly'!W83/'3. Monthly'!H83,"")</f>
        <v/>
      </c>
      <c r="S83" s="4">
        <f>IF('3. Monthly'!X83="","",'3. Monthly'!X83)</f>
        <v/>
      </c>
    </row>
    <row r="84">
      <c r="A84" s="4">
        <f>IF('3. Monthly'!A84="","",'3. Monthly'!A84)</f>
        <v/>
      </c>
      <c r="B84" s="20">
        <f>IF('3. Monthly'!A84="","",'3. Monthly'!B84)</f>
        <v/>
      </c>
      <c r="C84" s="4">
        <f>IF('3. Monthly'!A84="","",'3. Monthly'!C84)</f>
        <v/>
      </c>
      <c r="D84" s="21">
        <f>IFERROR('3. Monthly'!D84/'3. Monthly'!E84,"")</f>
        <v/>
      </c>
      <c r="E84" s="21">
        <f>IFERROR('3. Monthly'!F84/'3. Monthly'!G84,"")</f>
        <v/>
      </c>
      <c r="F84" s="21">
        <f>IFERROR('3. Monthly'!H84/'3. Monthly'!I84,"")</f>
        <v/>
      </c>
      <c r="G84" s="4">
        <f>IF('3. Monthly'!J84="","",'3. Monthly'!J84)</f>
        <v/>
      </c>
      <c r="H84" s="4">
        <f>IFERROR('3. Monthly'!K84/'3. Monthly'!L84,"")</f>
        <v/>
      </c>
      <c r="I84" s="21">
        <f>IFERROR('3. Monthly'!M84/'3. Monthly'!K84,"")</f>
        <v/>
      </c>
      <c r="J84" s="4">
        <f>IF('3. Monthly'!N84="","",'3. Monthly'!N84)</f>
        <v/>
      </c>
      <c r="K84" s="21">
        <f>IFERROR(('3. Monthly'!O84-'3. Monthly'!P84)/'3. Monthly'!O84,"")</f>
        <v/>
      </c>
      <c r="L84" s="21">
        <f>IFERROR('3. Monthly'!Q84/'3. Monthly'!G84,"")</f>
        <v/>
      </c>
      <c r="M84" s="21">
        <f>IFERROR('3. Monthly'!R84/'3. Monthly'!F84,"")</f>
        <v/>
      </c>
      <c r="N84" s="21">
        <f>IF('3. Monthly'!S84="","",'3. Monthly'!S84)</f>
        <v/>
      </c>
      <c r="O84" s="4">
        <f>IF('3. Monthly'!T84="","",'3. Monthly'!T84)</f>
        <v/>
      </c>
      <c r="P84" s="21">
        <f>IFERROR('3. Monthly'!U84/'3. Monthly'!H84,"")</f>
        <v/>
      </c>
      <c r="Q84" s="21">
        <f>IFERROR('3. Monthly'!V84/'3. Monthly'!H84,"")</f>
        <v/>
      </c>
      <c r="R84" s="21">
        <f>IFERROR('3. Monthly'!W84/'3. Monthly'!H84,"")</f>
        <v/>
      </c>
      <c r="S84" s="4">
        <f>IF('3. Monthly'!X84="","",'3. Monthly'!X84)</f>
        <v/>
      </c>
    </row>
    <row r="85">
      <c r="A85" s="4">
        <f>IF('3. Monthly'!A85="","",'3. Monthly'!A85)</f>
        <v/>
      </c>
      <c r="B85" s="20">
        <f>IF('3. Monthly'!A85="","",'3. Monthly'!B85)</f>
        <v/>
      </c>
      <c r="C85" s="4">
        <f>IF('3. Monthly'!A85="","",'3. Monthly'!C85)</f>
        <v/>
      </c>
      <c r="D85" s="21">
        <f>IFERROR('3. Monthly'!D85/'3. Monthly'!E85,"")</f>
        <v/>
      </c>
      <c r="E85" s="21">
        <f>IFERROR('3. Monthly'!F85/'3. Monthly'!G85,"")</f>
        <v/>
      </c>
      <c r="F85" s="21">
        <f>IFERROR('3. Monthly'!H85/'3. Monthly'!I85,"")</f>
        <v/>
      </c>
      <c r="G85" s="4">
        <f>IF('3. Monthly'!J85="","",'3. Monthly'!J85)</f>
        <v/>
      </c>
      <c r="H85" s="4">
        <f>IFERROR('3. Monthly'!K85/'3. Monthly'!L85,"")</f>
        <v/>
      </c>
      <c r="I85" s="21">
        <f>IFERROR('3. Monthly'!M85/'3. Monthly'!K85,"")</f>
        <v/>
      </c>
      <c r="J85" s="4">
        <f>IF('3. Monthly'!N85="","",'3. Monthly'!N85)</f>
        <v/>
      </c>
      <c r="K85" s="21">
        <f>IFERROR(('3. Monthly'!O85-'3. Monthly'!P85)/'3. Monthly'!O85,"")</f>
        <v/>
      </c>
      <c r="L85" s="21">
        <f>IFERROR('3. Monthly'!Q85/'3. Monthly'!G85,"")</f>
        <v/>
      </c>
      <c r="M85" s="21">
        <f>IFERROR('3. Monthly'!R85/'3. Monthly'!F85,"")</f>
        <v/>
      </c>
      <c r="N85" s="21">
        <f>IF('3. Monthly'!S85="","",'3. Monthly'!S85)</f>
        <v/>
      </c>
      <c r="O85" s="4">
        <f>IF('3. Monthly'!T85="","",'3. Monthly'!T85)</f>
        <v/>
      </c>
      <c r="P85" s="21">
        <f>IFERROR('3. Monthly'!U85/'3. Monthly'!H85,"")</f>
        <v/>
      </c>
      <c r="Q85" s="21">
        <f>IFERROR('3. Monthly'!V85/'3. Monthly'!H85,"")</f>
        <v/>
      </c>
      <c r="R85" s="21">
        <f>IFERROR('3. Monthly'!W85/'3. Monthly'!H85,"")</f>
        <v/>
      </c>
      <c r="S85" s="4">
        <f>IF('3. Monthly'!X85="","",'3. Monthly'!X85)</f>
        <v/>
      </c>
    </row>
    <row r="86">
      <c r="A86" s="4">
        <f>IF('3. Monthly'!A86="","",'3. Monthly'!A86)</f>
        <v/>
      </c>
      <c r="B86" s="20">
        <f>IF('3. Monthly'!A86="","",'3. Monthly'!B86)</f>
        <v/>
      </c>
      <c r="C86" s="4">
        <f>IF('3. Monthly'!A86="","",'3. Monthly'!C86)</f>
        <v/>
      </c>
      <c r="D86" s="21">
        <f>IFERROR('3. Monthly'!D86/'3. Monthly'!E86,"")</f>
        <v/>
      </c>
      <c r="E86" s="21">
        <f>IFERROR('3. Monthly'!F86/'3. Monthly'!G86,"")</f>
        <v/>
      </c>
      <c r="F86" s="21">
        <f>IFERROR('3. Monthly'!H86/'3. Monthly'!I86,"")</f>
        <v/>
      </c>
      <c r="G86" s="4">
        <f>IF('3. Monthly'!J86="","",'3. Monthly'!J86)</f>
        <v/>
      </c>
      <c r="H86" s="4">
        <f>IFERROR('3. Monthly'!K86/'3. Monthly'!L86,"")</f>
        <v/>
      </c>
      <c r="I86" s="21">
        <f>IFERROR('3. Monthly'!M86/'3. Monthly'!K86,"")</f>
        <v/>
      </c>
      <c r="J86" s="4">
        <f>IF('3. Monthly'!N86="","",'3. Monthly'!N86)</f>
        <v/>
      </c>
      <c r="K86" s="21">
        <f>IFERROR(('3. Monthly'!O86-'3. Monthly'!P86)/'3. Monthly'!O86,"")</f>
        <v/>
      </c>
      <c r="L86" s="21">
        <f>IFERROR('3. Monthly'!Q86/'3. Monthly'!G86,"")</f>
        <v/>
      </c>
      <c r="M86" s="21">
        <f>IFERROR('3. Monthly'!R86/'3. Monthly'!F86,"")</f>
        <v/>
      </c>
      <c r="N86" s="21">
        <f>IF('3. Monthly'!S86="","",'3. Monthly'!S86)</f>
        <v/>
      </c>
      <c r="O86" s="4">
        <f>IF('3. Monthly'!T86="","",'3. Monthly'!T86)</f>
        <v/>
      </c>
      <c r="P86" s="21">
        <f>IFERROR('3. Monthly'!U86/'3. Monthly'!H86,"")</f>
        <v/>
      </c>
      <c r="Q86" s="21">
        <f>IFERROR('3. Monthly'!V86/'3. Monthly'!H86,"")</f>
        <v/>
      </c>
      <c r="R86" s="21">
        <f>IFERROR('3. Monthly'!W86/'3. Monthly'!H86,"")</f>
        <v/>
      </c>
      <c r="S86" s="4">
        <f>IF('3. Monthly'!X86="","",'3. Monthly'!X86)</f>
        <v/>
      </c>
    </row>
    <row r="87">
      <c r="A87" s="4">
        <f>IF('3. Monthly'!A87="","",'3. Monthly'!A87)</f>
        <v/>
      </c>
      <c r="B87" s="20">
        <f>IF('3. Monthly'!A87="","",'3. Monthly'!B87)</f>
        <v/>
      </c>
      <c r="C87" s="4">
        <f>IF('3. Monthly'!A87="","",'3. Monthly'!C87)</f>
        <v/>
      </c>
      <c r="D87" s="21">
        <f>IFERROR('3. Monthly'!D87/'3. Monthly'!E87,"")</f>
        <v/>
      </c>
      <c r="E87" s="21">
        <f>IFERROR('3. Monthly'!F87/'3. Monthly'!G87,"")</f>
        <v/>
      </c>
      <c r="F87" s="21">
        <f>IFERROR('3. Monthly'!H87/'3. Monthly'!I87,"")</f>
        <v/>
      </c>
      <c r="G87" s="4">
        <f>IF('3. Monthly'!J87="","",'3. Monthly'!J87)</f>
        <v/>
      </c>
      <c r="H87" s="4">
        <f>IFERROR('3. Monthly'!K87/'3. Monthly'!L87,"")</f>
        <v/>
      </c>
      <c r="I87" s="21">
        <f>IFERROR('3. Monthly'!M87/'3. Monthly'!K87,"")</f>
        <v/>
      </c>
      <c r="J87" s="4">
        <f>IF('3. Monthly'!N87="","",'3. Monthly'!N87)</f>
        <v/>
      </c>
      <c r="K87" s="21">
        <f>IFERROR(('3. Monthly'!O87-'3. Monthly'!P87)/'3. Monthly'!O87,"")</f>
        <v/>
      </c>
      <c r="L87" s="21">
        <f>IFERROR('3. Monthly'!Q87/'3. Monthly'!G87,"")</f>
        <v/>
      </c>
      <c r="M87" s="21">
        <f>IFERROR('3. Monthly'!R87/'3. Monthly'!F87,"")</f>
        <v/>
      </c>
      <c r="N87" s="21">
        <f>IF('3. Monthly'!S87="","",'3. Monthly'!S87)</f>
        <v/>
      </c>
      <c r="O87" s="4">
        <f>IF('3. Monthly'!T87="","",'3. Monthly'!T87)</f>
        <v/>
      </c>
      <c r="P87" s="21">
        <f>IFERROR('3. Monthly'!U87/'3. Monthly'!H87,"")</f>
        <v/>
      </c>
      <c r="Q87" s="21">
        <f>IFERROR('3. Monthly'!V87/'3. Monthly'!H87,"")</f>
        <v/>
      </c>
      <c r="R87" s="21">
        <f>IFERROR('3. Monthly'!W87/'3. Monthly'!H87,"")</f>
        <v/>
      </c>
      <c r="S87" s="4">
        <f>IF('3. Monthly'!X87="","",'3. Monthly'!X87)</f>
        <v/>
      </c>
    </row>
    <row r="88">
      <c r="A88" s="4">
        <f>IF('3. Monthly'!A88="","",'3. Monthly'!A88)</f>
        <v/>
      </c>
      <c r="B88" s="20">
        <f>IF('3. Monthly'!A88="","",'3. Monthly'!B88)</f>
        <v/>
      </c>
      <c r="C88" s="4">
        <f>IF('3. Monthly'!A88="","",'3. Monthly'!C88)</f>
        <v/>
      </c>
      <c r="D88" s="21">
        <f>IFERROR('3. Monthly'!D88/'3. Monthly'!E88,"")</f>
        <v/>
      </c>
      <c r="E88" s="21">
        <f>IFERROR('3. Monthly'!F88/'3. Monthly'!G88,"")</f>
        <v/>
      </c>
      <c r="F88" s="21">
        <f>IFERROR('3. Monthly'!H88/'3. Monthly'!I88,"")</f>
        <v/>
      </c>
      <c r="G88" s="4">
        <f>IF('3. Monthly'!J88="","",'3. Monthly'!J88)</f>
        <v/>
      </c>
      <c r="H88" s="4">
        <f>IFERROR('3. Monthly'!K88/'3. Monthly'!L88,"")</f>
        <v/>
      </c>
      <c r="I88" s="21">
        <f>IFERROR('3. Monthly'!M88/'3. Monthly'!K88,"")</f>
        <v/>
      </c>
      <c r="J88" s="4">
        <f>IF('3. Monthly'!N88="","",'3. Monthly'!N88)</f>
        <v/>
      </c>
      <c r="K88" s="21">
        <f>IFERROR(('3. Monthly'!O88-'3. Monthly'!P88)/'3. Monthly'!O88,"")</f>
        <v/>
      </c>
      <c r="L88" s="21">
        <f>IFERROR('3. Monthly'!Q88/'3. Monthly'!G88,"")</f>
        <v/>
      </c>
      <c r="M88" s="21">
        <f>IFERROR('3. Monthly'!R88/'3. Monthly'!F88,"")</f>
        <v/>
      </c>
      <c r="N88" s="21">
        <f>IF('3. Monthly'!S88="","",'3. Monthly'!S88)</f>
        <v/>
      </c>
      <c r="O88" s="4">
        <f>IF('3. Monthly'!T88="","",'3. Monthly'!T88)</f>
        <v/>
      </c>
      <c r="P88" s="21">
        <f>IFERROR('3. Monthly'!U88/'3. Monthly'!H88,"")</f>
        <v/>
      </c>
      <c r="Q88" s="21">
        <f>IFERROR('3. Monthly'!V88/'3. Monthly'!H88,"")</f>
        <v/>
      </c>
      <c r="R88" s="21">
        <f>IFERROR('3. Monthly'!W88/'3. Monthly'!H88,"")</f>
        <v/>
      </c>
      <c r="S88" s="4">
        <f>IF('3. Monthly'!X88="","",'3. Monthly'!X88)</f>
        <v/>
      </c>
    </row>
    <row r="89">
      <c r="A89" s="4">
        <f>IF('3. Monthly'!A89="","",'3. Monthly'!A89)</f>
        <v/>
      </c>
      <c r="B89" s="20">
        <f>IF('3. Monthly'!A89="","",'3. Monthly'!B89)</f>
        <v/>
      </c>
      <c r="C89" s="4">
        <f>IF('3. Monthly'!A89="","",'3. Monthly'!C89)</f>
        <v/>
      </c>
      <c r="D89" s="21">
        <f>IFERROR('3. Monthly'!D89/'3. Monthly'!E89,"")</f>
        <v/>
      </c>
      <c r="E89" s="21">
        <f>IFERROR('3. Monthly'!F89/'3. Monthly'!G89,"")</f>
        <v/>
      </c>
      <c r="F89" s="21">
        <f>IFERROR('3. Monthly'!H89/'3. Monthly'!I89,"")</f>
        <v/>
      </c>
      <c r="G89" s="4">
        <f>IF('3. Monthly'!J89="","",'3. Monthly'!J89)</f>
        <v/>
      </c>
      <c r="H89" s="4">
        <f>IFERROR('3. Monthly'!K89/'3. Monthly'!L89,"")</f>
        <v/>
      </c>
      <c r="I89" s="21">
        <f>IFERROR('3. Monthly'!M89/'3. Monthly'!K89,"")</f>
        <v/>
      </c>
      <c r="J89" s="4">
        <f>IF('3. Monthly'!N89="","",'3. Monthly'!N89)</f>
        <v/>
      </c>
      <c r="K89" s="21">
        <f>IFERROR(('3. Monthly'!O89-'3. Monthly'!P89)/'3. Monthly'!O89,"")</f>
        <v/>
      </c>
      <c r="L89" s="21">
        <f>IFERROR('3. Monthly'!Q89/'3. Monthly'!G89,"")</f>
        <v/>
      </c>
      <c r="M89" s="21">
        <f>IFERROR('3. Monthly'!R89/'3. Monthly'!F89,"")</f>
        <v/>
      </c>
      <c r="N89" s="21">
        <f>IF('3. Monthly'!S89="","",'3. Monthly'!S89)</f>
        <v/>
      </c>
      <c r="O89" s="4">
        <f>IF('3. Monthly'!T89="","",'3. Monthly'!T89)</f>
        <v/>
      </c>
      <c r="P89" s="21">
        <f>IFERROR('3. Monthly'!U89/'3. Monthly'!H89,"")</f>
        <v/>
      </c>
      <c r="Q89" s="21">
        <f>IFERROR('3. Monthly'!V89/'3. Monthly'!H89,"")</f>
        <v/>
      </c>
      <c r="R89" s="21">
        <f>IFERROR('3. Monthly'!W89/'3. Monthly'!H89,"")</f>
        <v/>
      </c>
      <c r="S89" s="4">
        <f>IF('3. Monthly'!X89="","",'3. Monthly'!X89)</f>
        <v/>
      </c>
    </row>
    <row r="90">
      <c r="A90" s="4">
        <f>IF('3. Monthly'!A90="","",'3. Monthly'!A90)</f>
        <v/>
      </c>
      <c r="B90" s="20">
        <f>IF('3. Monthly'!A90="","",'3. Monthly'!B90)</f>
        <v/>
      </c>
      <c r="C90" s="4">
        <f>IF('3. Monthly'!A90="","",'3. Monthly'!C90)</f>
        <v/>
      </c>
      <c r="D90" s="21">
        <f>IFERROR('3. Monthly'!D90/'3. Monthly'!E90,"")</f>
        <v/>
      </c>
      <c r="E90" s="21">
        <f>IFERROR('3. Monthly'!F90/'3. Monthly'!G90,"")</f>
        <v/>
      </c>
      <c r="F90" s="21">
        <f>IFERROR('3. Monthly'!H90/'3. Monthly'!I90,"")</f>
        <v/>
      </c>
      <c r="G90" s="4">
        <f>IF('3. Monthly'!J90="","",'3. Monthly'!J90)</f>
        <v/>
      </c>
      <c r="H90" s="4">
        <f>IFERROR('3. Monthly'!K90/'3. Monthly'!L90,"")</f>
        <v/>
      </c>
      <c r="I90" s="21">
        <f>IFERROR('3. Monthly'!M90/'3. Monthly'!K90,"")</f>
        <v/>
      </c>
      <c r="J90" s="4">
        <f>IF('3. Monthly'!N90="","",'3. Monthly'!N90)</f>
        <v/>
      </c>
      <c r="K90" s="21">
        <f>IFERROR(('3. Monthly'!O90-'3. Monthly'!P90)/'3. Monthly'!O90,"")</f>
        <v/>
      </c>
      <c r="L90" s="21">
        <f>IFERROR('3. Monthly'!Q90/'3. Monthly'!G90,"")</f>
        <v/>
      </c>
      <c r="M90" s="21">
        <f>IFERROR('3. Monthly'!R90/'3. Monthly'!F90,"")</f>
        <v/>
      </c>
      <c r="N90" s="21">
        <f>IF('3. Monthly'!S90="","",'3. Monthly'!S90)</f>
        <v/>
      </c>
      <c r="O90" s="4">
        <f>IF('3. Monthly'!T90="","",'3. Monthly'!T90)</f>
        <v/>
      </c>
      <c r="P90" s="21">
        <f>IFERROR('3. Monthly'!U90/'3. Monthly'!H90,"")</f>
        <v/>
      </c>
      <c r="Q90" s="21">
        <f>IFERROR('3. Monthly'!V90/'3. Monthly'!H90,"")</f>
        <v/>
      </c>
      <c r="R90" s="21">
        <f>IFERROR('3. Monthly'!W90/'3. Monthly'!H90,"")</f>
        <v/>
      </c>
      <c r="S90" s="4">
        <f>IF('3. Monthly'!X90="","",'3. Monthly'!X90)</f>
        <v/>
      </c>
    </row>
    <row r="91">
      <c r="A91" s="4">
        <f>IF('3. Monthly'!A91="","",'3. Monthly'!A91)</f>
        <v/>
      </c>
      <c r="B91" s="20">
        <f>IF('3. Monthly'!A91="","",'3. Monthly'!B91)</f>
        <v/>
      </c>
      <c r="C91" s="4">
        <f>IF('3. Monthly'!A91="","",'3. Monthly'!C91)</f>
        <v/>
      </c>
      <c r="D91" s="21">
        <f>IFERROR('3. Monthly'!D91/'3. Monthly'!E91,"")</f>
        <v/>
      </c>
      <c r="E91" s="21">
        <f>IFERROR('3. Monthly'!F91/'3. Monthly'!G91,"")</f>
        <v/>
      </c>
      <c r="F91" s="21">
        <f>IFERROR('3. Monthly'!H91/'3. Monthly'!I91,"")</f>
        <v/>
      </c>
      <c r="G91" s="4">
        <f>IF('3. Monthly'!J91="","",'3. Monthly'!J91)</f>
        <v/>
      </c>
      <c r="H91" s="4">
        <f>IFERROR('3. Monthly'!K91/'3. Monthly'!L91,"")</f>
        <v/>
      </c>
      <c r="I91" s="21">
        <f>IFERROR('3. Monthly'!M91/'3. Monthly'!K91,"")</f>
        <v/>
      </c>
      <c r="J91" s="4">
        <f>IF('3. Monthly'!N91="","",'3. Monthly'!N91)</f>
        <v/>
      </c>
      <c r="K91" s="21">
        <f>IFERROR(('3. Monthly'!O91-'3. Monthly'!P91)/'3. Monthly'!O91,"")</f>
        <v/>
      </c>
      <c r="L91" s="21">
        <f>IFERROR('3. Monthly'!Q91/'3. Monthly'!G91,"")</f>
        <v/>
      </c>
      <c r="M91" s="21">
        <f>IFERROR('3. Monthly'!R91/'3. Monthly'!F91,"")</f>
        <v/>
      </c>
      <c r="N91" s="21">
        <f>IF('3. Monthly'!S91="","",'3. Monthly'!S91)</f>
        <v/>
      </c>
      <c r="O91" s="4">
        <f>IF('3. Monthly'!T91="","",'3. Monthly'!T91)</f>
        <v/>
      </c>
      <c r="P91" s="21">
        <f>IFERROR('3. Monthly'!U91/'3. Monthly'!H91,"")</f>
        <v/>
      </c>
      <c r="Q91" s="21">
        <f>IFERROR('3. Monthly'!V91/'3. Monthly'!H91,"")</f>
        <v/>
      </c>
      <c r="R91" s="21">
        <f>IFERROR('3. Monthly'!W91/'3. Monthly'!H91,"")</f>
        <v/>
      </c>
      <c r="S91" s="4">
        <f>IF('3. Monthly'!X91="","",'3. Monthly'!X91)</f>
        <v/>
      </c>
    </row>
    <row r="92">
      <c r="A92" s="4">
        <f>IF('3. Monthly'!A92="","",'3. Monthly'!A92)</f>
        <v/>
      </c>
      <c r="B92" s="20">
        <f>IF('3. Monthly'!A92="","",'3. Monthly'!B92)</f>
        <v/>
      </c>
      <c r="C92" s="4">
        <f>IF('3. Monthly'!A92="","",'3. Monthly'!C92)</f>
        <v/>
      </c>
      <c r="D92" s="21">
        <f>IFERROR('3. Monthly'!D92/'3. Monthly'!E92,"")</f>
        <v/>
      </c>
      <c r="E92" s="21">
        <f>IFERROR('3. Monthly'!F92/'3. Monthly'!G92,"")</f>
        <v/>
      </c>
      <c r="F92" s="21">
        <f>IFERROR('3. Monthly'!H92/'3. Monthly'!I92,"")</f>
        <v/>
      </c>
      <c r="G92" s="4">
        <f>IF('3. Monthly'!J92="","",'3. Monthly'!J92)</f>
        <v/>
      </c>
      <c r="H92" s="4">
        <f>IFERROR('3. Monthly'!K92/'3. Monthly'!L92,"")</f>
        <v/>
      </c>
      <c r="I92" s="21">
        <f>IFERROR('3. Monthly'!M92/'3. Monthly'!K92,"")</f>
        <v/>
      </c>
      <c r="J92" s="4">
        <f>IF('3. Monthly'!N92="","",'3. Monthly'!N92)</f>
        <v/>
      </c>
      <c r="K92" s="21">
        <f>IFERROR(('3. Monthly'!O92-'3. Monthly'!P92)/'3. Monthly'!O92,"")</f>
        <v/>
      </c>
      <c r="L92" s="21">
        <f>IFERROR('3. Monthly'!Q92/'3. Monthly'!G92,"")</f>
        <v/>
      </c>
      <c r="M92" s="21">
        <f>IFERROR('3. Monthly'!R92/'3. Monthly'!F92,"")</f>
        <v/>
      </c>
      <c r="N92" s="21">
        <f>IF('3. Monthly'!S92="","",'3. Monthly'!S92)</f>
        <v/>
      </c>
      <c r="O92" s="4">
        <f>IF('3. Monthly'!T92="","",'3. Monthly'!T92)</f>
        <v/>
      </c>
      <c r="P92" s="21">
        <f>IFERROR('3. Monthly'!U92/'3. Monthly'!H92,"")</f>
        <v/>
      </c>
      <c r="Q92" s="21">
        <f>IFERROR('3. Monthly'!V92/'3. Monthly'!H92,"")</f>
        <v/>
      </c>
      <c r="R92" s="21">
        <f>IFERROR('3. Monthly'!W92/'3. Monthly'!H92,"")</f>
        <v/>
      </c>
      <c r="S92" s="4">
        <f>IF('3. Monthly'!X92="","",'3. Monthly'!X92)</f>
        <v/>
      </c>
    </row>
    <row r="93">
      <c r="A93" s="4">
        <f>IF('3. Monthly'!A93="","",'3. Monthly'!A93)</f>
        <v/>
      </c>
      <c r="B93" s="20">
        <f>IF('3. Monthly'!A93="","",'3. Monthly'!B93)</f>
        <v/>
      </c>
      <c r="C93" s="4">
        <f>IF('3. Monthly'!A93="","",'3. Monthly'!C93)</f>
        <v/>
      </c>
      <c r="D93" s="21">
        <f>IFERROR('3. Monthly'!D93/'3. Monthly'!E93,"")</f>
        <v/>
      </c>
      <c r="E93" s="21">
        <f>IFERROR('3. Monthly'!F93/'3. Monthly'!G93,"")</f>
        <v/>
      </c>
      <c r="F93" s="21">
        <f>IFERROR('3. Monthly'!H93/'3. Monthly'!I93,"")</f>
        <v/>
      </c>
      <c r="G93" s="4">
        <f>IF('3. Monthly'!J93="","",'3. Monthly'!J93)</f>
        <v/>
      </c>
      <c r="H93" s="4">
        <f>IFERROR('3. Monthly'!K93/'3. Monthly'!L93,"")</f>
        <v/>
      </c>
      <c r="I93" s="21">
        <f>IFERROR('3. Monthly'!M93/'3. Monthly'!K93,"")</f>
        <v/>
      </c>
      <c r="J93" s="4">
        <f>IF('3. Monthly'!N93="","",'3. Monthly'!N93)</f>
        <v/>
      </c>
      <c r="K93" s="21">
        <f>IFERROR(('3. Monthly'!O93-'3. Monthly'!P93)/'3. Monthly'!O93,"")</f>
        <v/>
      </c>
      <c r="L93" s="21">
        <f>IFERROR('3. Monthly'!Q93/'3. Monthly'!G93,"")</f>
        <v/>
      </c>
      <c r="M93" s="21">
        <f>IFERROR('3. Monthly'!R93/'3. Monthly'!F93,"")</f>
        <v/>
      </c>
      <c r="N93" s="21">
        <f>IF('3. Monthly'!S93="","",'3. Monthly'!S93)</f>
        <v/>
      </c>
      <c r="O93" s="4">
        <f>IF('3. Monthly'!T93="","",'3. Monthly'!T93)</f>
        <v/>
      </c>
      <c r="P93" s="21">
        <f>IFERROR('3. Monthly'!U93/'3. Monthly'!H93,"")</f>
        <v/>
      </c>
      <c r="Q93" s="21">
        <f>IFERROR('3. Monthly'!V93/'3. Monthly'!H93,"")</f>
        <v/>
      </c>
      <c r="R93" s="21">
        <f>IFERROR('3. Monthly'!W93/'3. Monthly'!H93,"")</f>
        <v/>
      </c>
      <c r="S93" s="4">
        <f>IF('3. Monthly'!X93="","",'3. Monthly'!X93)</f>
        <v/>
      </c>
    </row>
    <row r="94">
      <c r="A94" s="4">
        <f>IF('3. Monthly'!A94="","",'3. Monthly'!A94)</f>
        <v/>
      </c>
      <c r="B94" s="20">
        <f>IF('3. Monthly'!A94="","",'3. Monthly'!B94)</f>
        <v/>
      </c>
      <c r="C94" s="4">
        <f>IF('3. Monthly'!A94="","",'3. Monthly'!C94)</f>
        <v/>
      </c>
      <c r="D94" s="21">
        <f>IFERROR('3. Monthly'!D94/'3. Monthly'!E94,"")</f>
        <v/>
      </c>
      <c r="E94" s="21">
        <f>IFERROR('3. Monthly'!F94/'3. Monthly'!G94,"")</f>
        <v/>
      </c>
      <c r="F94" s="21">
        <f>IFERROR('3. Monthly'!H94/'3. Monthly'!I94,"")</f>
        <v/>
      </c>
      <c r="G94" s="4">
        <f>IF('3. Monthly'!J94="","",'3. Monthly'!J94)</f>
        <v/>
      </c>
      <c r="H94" s="4">
        <f>IFERROR('3. Monthly'!K94/'3. Monthly'!L94,"")</f>
        <v/>
      </c>
      <c r="I94" s="21">
        <f>IFERROR('3. Monthly'!M94/'3. Monthly'!K94,"")</f>
        <v/>
      </c>
      <c r="J94" s="4">
        <f>IF('3. Monthly'!N94="","",'3. Monthly'!N94)</f>
        <v/>
      </c>
      <c r="K94" s="21">
        <f>IFERROR(('3. Monthly'!O94-'3. Monthly'!P94)/'3. Monthly'!O94,"")</f>
        <v/>
      </c>
      <c r="L94" s="21">
        <f>IFERROR('3. Monthly'!Q94/'3. Monthly'!G94,"")</f>
        <v/>
      </c>
      <c r="M94" s="21">
        <f>IFERROR('3. Monthly'!R94/'3. Monthly'!F94,"")</f>
        <v/>
      </c>
      <c r="N94" s="21">
        <f>IF('3. Monthly'!S94="","",'3. Monthly'!S94)</f>
        <v/>
      </c>
      <c r="O94" s="4">
        <f>IF('3. Monthly'!T94="","",'3. Monthly'!T94)</f>
        <v/>
      </c>
      <c r="P94" s="21">
        <f>IFERROR('3. Monthly'!U94/'3. Monthly'!H94,"")</f>
        <v/>
      </c>
      <c r="Q94" s="21">
        <f>IFERROR('3. Monthly'!V94/'3. Monthly'!H94,"")</f>
        <v/>
      </c>
      <c r="R94" s="21">
        <f>IFERROR('3. Monthly'!W94/'3. Monthly'!H94,"")</f>
        <v/>
      </c>
      <c r="S94" s="4">
        <f>IF('3. Monthly'!X94="","",'3. Monthly'!X94)</f>
        <v/>
      </c>
    </row>
    <row r="95">
      <c r="A95" s="4">
        <f>IF('3. Monthly'!A95="","",'3. Monthly'!A95)</f>
        <v/>
      </c>
      <c r="B95" s="20">
        <f>IF('3. Monthly'!A95="","",'3. Monthly'!B95)</f>
        <v/>
      </c>
      <c r="C95" s="4">
        <f>IF('3. Monthly'!A95="","",'3. Monthly'!C95)</f>
        <v/>
      </c>
      <c r="D95" s="21">
        <f>IFERROR('3. Monthly'!D95/'3. Monthly'!E95,"")</f>
        <v/>
      </c>
      <c r="E95" s="21">
        <f>IFERROR('3. Monthly'!F95/'3. Monthly'!G95,"")</f>
        <v/>
      </c>
      <c r="F95" s="21">
        <f>IFERROR('3. Monthly'!H95/'3. Monthly'!I95,"")</f>
        <v/>
      </c>
      <c r="G95" s="4">
        <f>IF('3. Monthly'!J95="","",'3. Monthly'!J95)</f>
        <v/>
      </c>
      <c r="H95" s="4">
        <f>IFERROR('3. Monthly'!K95/'3. Monthly'!L95,"")</f>
        <v/>
      </c>
      <c r="I95" s="21">
        <f>IFERROR('3. Monthly'!M95/'3. Monthly'!K95,"")</f>
        <v/>
      </c>
      <c r="J95" s="4">
        <f>IF('3. Monthly'!N95="","",'3. Monthly'!N95)</f>
        <v/>
      </c>
      <c r="K95" s="21">
        <f>IFERROR(('3. Monthly'!O95-'3. Monthly'!P95)/'3. Monthly'!O95,"")</f>
        <v/>
      </c>
      <c r="L95" s="21">
        <f>IFERROR('3. Monthly'!Q95/'3. Monthly'!G95,"")</f>
        <v/>
      </c>
      <c r="M95" s="21">
        <f>IFERROR('3. Monthly'!R95/'3. Monthly'!F95,"")</f>
        <v/>
      </c>
      <c r="N95" s="21">
        <f>IF('3. Monthly'!S95="","",'3. Monthly'!S95)</f>
        <v/>
      </c>
      <c r="O95" s="4">
        <f>IF('3. Monthly'!T95="","",'3. Monthly'!T95)</f>
        <v/>
      </c>
      <c r="P95" s="21">
        <f>IFERROR('3. Monthly'!U95/'3. Monthly'!H95,"")</f>
        <v/>
      </c>
      <c r="Q95" s="21">
        <f>IFERROR('3. Monthly'!V95/'3. Monthly'!H95,"")</f>
        <v/>
      </c>
      <c r="R95" s="21">
        <f>IFERROR('3. Monthly'!W95/'3. Monthly'!H95,"")</f>
        <v/>
      </c>
      <c r="S95" s="4">
        <f>IF('3. Monthly'!X95="","",'3. Monthly'!X95)</f>
        <v/>
      </c>
    </row>
    <row r="96">
      <c r="A96" s="4">
        <f>IF('3. Monthly'!A96="","",'3. Monthly'!A96)</f>
        <v/>
      </c>
      <c r="B96" s="20">
        <f>IF('3. Monthly'!A96="","",'3. Monthly'!B96)</f>
        <v/>
      </c>
      <c r="C96" s="4">
        <f>IF('3. Monthly'!A96="","",'3. Monthly'!C96)</f>
        <v/>
      </c>
      <c r="D96" s="21">
        <f>IFERROR('3. Monthly'!D96/'3. Monthly'!E96,"")</f>
        <v/>
      </c>
      <c r="E96" s="21">
        <f>IFERROR('3. Monthly'!F96/'3. Monthly'!G96,"")</f>
        <v/>
      </c>
      <c r="F96" s="21">
        <f>IFERROR('3. Monthly'!H96/'3. Monthly'!I96,"")</f>
        <v/>
      </c>
      <c r="G96" s="4">
        <f>IF('3. Monthly'!J96="","",'3. Monthly'!J96)</f>
        <v/>
      </c>
      <c r="H96" s="4">
        <f>IFERROR('3. Monthly'!K96/'3. Monthly'!L96,"")</f>
        <v/>
      </c>
      <c r="I96" s="21">
        <f>IFERROR('3. Monthly'!M96/'3. Monthly'!K96,"")</f>
        <v/>
      </c>
      <c r="J96" s="4">
        <f>IF('3. Monthly'!N96="","",'3. Monthly'!N96)</f>
        <v/>
      </c>
      <c r="K96" s="21">
        <f>IFERROR(('3. Monthly'!O96-'3. Monthly'!P96)/'3. Monthly'!O96,"")</f>
        <v/>
      </c>
      <c r="L96" s="21">
        <f>IFERROR('3. Monthly'!Q96/'3. Monthly'!G96,"")</f>
        <v/>
      </c>
      <c r="M96" s="21">
        <f>IFERROR('3. Monthly'!R96/'3. Monthly'!F96,"")</f>
        <v/>
      </c>
      <c r="N96" s="21">
        <f>IF('3. Monthly'!S96="","",'3. Monthly'!S96)</f>
        <v/>
      </c>
      <c r="O96" s="4">
        <f>IF('3. Monthly'!T96="","",'3. Monthly'!T96)</f>
        <v/>
      </c>
      <c r="P96" s="21">
        <f>IFERROR('3. Monthly'!U96/'3. Monthly'!H96,"")</f>
        <v/>
      </c>
      <c r="Q96" s="21">
        <f>IFERROR('3. Monthly'!V96/'3. Monthly'!H96,"")</f>
        <v/>
      </c>
      <c r="R96" s="21">
        <f>IFERROR('3. Monthly'!W96/'3. Monthly'!H96,"")</f>
        <v/>
      </c>
      <c r="S96" s="4">
        <f>IF('3. Monthly'!X96="","",'3. Monthly'!X96)</f>
        <v/>
      </c>
    </row>
    <row r="97">
      <c r="A97" s="4">
        <f>IF('3. Monthly'!A97="","",'3. Monthly'!A97)</f>
        <v/>
      </c>
      <c r="B97" s="20">
        <f>IF('3. Monthly'!A97="","",'3. Monthly'!B97)</f>
        <v/>
      </c>
      <c r="C97" s="4">
        <f>IF('3. Monthly'!A97="","",'3. Monthly'!C97)</f>
        <v/>
      </c>
      <c r="D97" s="21">
        <f>IFERROR('3. Monthly'!D97/'3. Monthly'!E97,"")</f>
        <v/>
      </c>
      <c r="E97" s="21">
        <f>IFERROR('3. Monthly'!F97/'3. Monthly'!G97,"")</f>
        <v/>
      </c>
      <c r="F97" s="21">
        <f>IFERROR('3. Monthly'!H97/'3. Monthly'!I97,"")</f>
        <v/>
      </c>
      <c r="G97" s="4">
        <f>IF('3. Monthly'!J97="","",'3. Monthly'!J97)</f>
        <v/>
      </c>
      <c r="H97" s="4">
        <f>IFERROR('3. Monthly'!K97/'3. Monthly'!L97,"")</f>
        <v/>
      </c>
      <c r="I97" s="21">
        <f>IFERROR('3. Monthly'!M97/'3. Monthly'!K97,"")</f>
        <v/>
      </c>
      <c r="J97" s="4">
        <f>IF('3. Monthly'!N97="","",'3. Monthly'!N97)</f>
        <v/>
      </c>
      <c r="K97" s="21">
        <f>IFERROR(('3. Monthly'!O97-'3. Monthly'!P97)/'3. Monthly'!O97,"")</f>
        <v/>
      </c>
      <c r="L97" s="21">
        <f>IFERROR('3. Monthly'!Q97/'3. Monthly'!G97,"")</f>
        <v/>
      </c>
      <c r="M97" s="21">
        <f>IFERROR('3. Monthly'!R97/'3. Monthly'!F97,"")</f>
        <v/>
      </c>
      <c r="N97" s="21">
        <f>IF('3. Monthly'!S97="","",'3. Monthly'!S97)</f>
        <v/>
      </c>
      <c r="O97" s="4">
        <f>IF('3. Monthly'!T97="","",'3. Monthly'!T97)</f>
        <v/>
      </c>
      <c r="P97" s="21">
        <f>IFERROR('3. Monthly'!U97/'3. Monthly'!H97,"")</f>
        <v/>
      </c>
      <c r="Q97" s="21">
        <f>IFERROR('3. Monthly'!V97/'3. Monthly'!H97,"")</f>
        <v/>
      </c>
      <c r="R97" s="21">
        <f>IFERROR('3. Monthly'!W97/'3. Monthly'!H97,"")</f>
        <v/>
      </c>
      <c r="S97" s="4">
        <f>IF('3. Monthly'!X97="","",'3. Monthly'!X97)</f>
        <v/>
      </c>
    </row>
    <row r="98">
      <c r="A98" s="4">
        <f>IF('3. Monthly'!A98="","",'3. Monthly'!A98)</f>
        <v/>
      </c>
      <c r="B98" s="20">
        <f>IF('3. Monthly'!A98="","",'3. Monthly'!B98)</f>
        <v/>
      </c>
      <c r="C98" s="4">
        <f>IF('3. Monthly'!A98="","",'3. Monthly'!C98)</f>
        <v/>
      </c>
      <c r="D98" s="21">
        <f>IFERROR('3. Monthly'!D98/'3. Monthly'!E98,"")</f>
        <v/>
      </c>
      <c r="E98" s="21">
        <f>IFERROR('3. Monthly'!F98/'3. Monthly'!G98,"")</f>
        <v/>
      </c>
      <c r="F98" s="21">
        <f>IFERROR('3. Monthly'!H98/'3. Monthly'!I98,"")</f>
        <v/>
      </c>
      <c r="G98" s="4">
        <f>IF('3. Monthly'!J98="","",'3. Monthly'!J98)</f>
        <v/>
      </c>
      <c r="H98" s="4">
        <f>IFERROR('3. Monthly'!K98/'3. Monthly'!L98,"")</f>
        <v/>
      </c>
      <c r="I98" s="21">
        <f>IFERROR('3. Monthly'!M98/'3. Monthly'!K98,"")</f>
        <v/>
      </c>
      <c r="J98" s="4">
        <f>IF('3. Monthly'!N98="","",'3. Monthly'!N98)</f>
        <v/>
      </c>
      <c r="K98" s="21">
        <f>IFERROR(('3. Monthly'!O98-'3. Monthly'!P98)/'3. Monthly'!O98,"")</f>
        <v/>
      </c>
      <c r="L98" s="21">
        <f>IFERROR('3. Monthly'!Q98/'3. Monthly'!G98,"")</f>
        <v/>
      </c>
      <c r="M98" s="21">
        <f>IFERROR('3. Monthly'!R98/'3. Monthly'!F98,"")</f>
        <v/>
      </c>
      <c r="N98" s="21">
        <f>IF('3. Monthly'!S98="","",'3. Monthly'!S98)</f>
        <v/>
      </c>
      <c r="O98" s="4">
        <f>IF('3. Monthly'!T98="","",'3. Monthly'!T98)</f>
        <v/>
      </c>
      <c r="P98" s="21">
        <f>IFERROR('3. Monthly'!U98/'3. Monthly'!H98,"")</f>
        <v/>
      </c>
      <c r="Q98" s="21">
        <f>IFERROR('3. Monthly'!V98/'3. Monthly'!H98,"")</f>
        <v/>
      </c>
      <c r="R98" s="21">
        <f>IFERROR('3. Monthly'!W98/'3. Monthly'!H98,"")</f>
        <v/>
      </c>
      <c r="S98" s="4">
        <f>IF('3. Monthly'!X98="","",'3. Monthly'!X98)</f>
        <v/>
      </c>
    </row>
    <row r="99">
      <c r="A99" s="4">
        <f>IF('3. Monthly'!A99="","",'3. Monthly'!A99)</f>
        <v/>
      </c>
      <c r="B99" s="20">
        <f>IF('3. Monthly'!A99="","",'3. Monthly'!B99)</f>
        <v/>
      </c>
      <c r="C99" s="4">
        <f>IF('3. Monthly'!A99="","",'3. Monthly'!C99)</f>
        <v/>
      </c>
      <c r="D99" s="21">
        <f>IFERROR('3. Monthly'!D99/'3. Monthly'!E99,"")</f>
        <v/>
      </c>
      <c r="E99" s="21">
        <f>IFERROR('3. Monthly'!F99/'3. Monthly'!G99,"")</f>
        <v/>
      </c>
      <c r="F99" s="21">
        <f>IFERROR('3. Monthly'!H99/'3. Monthly'!I99,"")</f>
        <v/>
      </c>
      <c r="G99" s="4">
        <f>IF('3. Monthly'!J99="","",'3. Monthly'!J99)</f>
        <v/>
      </c>
      <c r="H99" s="4">
        <f>IFERROR('3. Monthly'!K99/'3. Monthly'!L99,"")</f>
        <v/>
      </c>
      <c r="I99" s="21">
        <f>IFERROR('3. Monthly'!M99/'3. Monthly'!K99,"")</f>
        <v/>
      </c>
      <c r="J99" s="4">
        <f>IF('3. Monthly'!N99="","",'3. Monthly'!N99)</f>
        <v/>
      </c>
      <c r="K99" s="21">
        <f>IFERROR(('3. Monthly'!O99-'3. Monthly'!P99)/'3. Monthly'!O99,"")</f>
        <v/>
      </c>
      <c r="L99" s="21">
        <f>IFERROR('3. Monthly'!Q99/'3. Monthly'!G99,"")</f>
        <v/>
      </c>
      <c r="M99" s="21">
        <f>IFERROR('3. Monthly'!R99/'3. Monthly'!F99,"")</f>
        <v/>
      </c>
      <c r="N99" s="21">
        <f>IF('3. Monthly'!S99="","",'3. Monthly'!S99)</f>
        <v/>
      </c>
      <c r="O99" s="4">
        <f>IF('3. Monthly'!T99="","",'3. Monthly'!T99)</f>
        <v/>
      </c>
      <c r="P99" s="21">
        <f>IFERROR('3. Monthly'!U99/'3. Monthly'!H99,"")</f>
        <v/>
      </c>
      <c r="Q99" s="21">
        <f>IFERROR('3. Monthly'!V99/'3. Monthly'!H99,"")</f>
        <v/>
      </c>
      <c r="R99" s="21">
        <f>IFERROR('3. Monthly'!W99/'3. Monthly'!H99,"")</f>
        <v/>
      </c>
      <c r="S99" s="4">
        <f>IF('3. Monthly'!X99="","",'3. Monthly'!X99)</f>
        <v/>
      </c>
    </row>
    <row r="100">
      <c r="A100" s="4">
        <f>IF('3. Monthly'!A100="","",'3. Monthly'!A100)</f>
        <v/>
      </c>
      <c r="B100" s="20">
        <f>IF('3. Monthly'!A100="","",'3. Monthly'!B100)</f>
        <v/>
      </c>
      <c r="C100" s="4">
        <f>IF('3. Monthly'!A100="","",'3. Monthly'!C100)</f>
        <v/>
      </c>
      <c r="D100" s="21">
        <f>IFERROR('3. Monthly'!D100/'3. Monthly'!E100,"")</f>
        <v/>
      </c>
      <c r="E100" s="21">
        <f>IFERROR('3. Monthly'!F100/'3. Monthly'!G100,"")</f>
        <v/>
      </c>
      <c r="F100" s="21">
        <f>IFERROR('3. Monthly'!H100/'3. Monthly'!I100,"")</f>
        <v/>
      </c>
      <c r="G100" s="4">
        <f>IF('3. Monthly'!J100="","",'3. Monthly'!J100)</f>
        <v/>
      </c>
      <c r="H100" s="4">
        <f>IFERROR('3. Monthly'!K100/'3. Monthly'!L100,"")</f>
        <v/>
      </c>
      <c r="I100" s="21">
        <f>IFERROR('3. Monthly'!M100/'3. Monthly'!K100,"")</f>
        <v/>
      </c>
      <c r="J100" s="4">
        <f>IF('3. Monthly'!N100="","",'3. Monthly'!N100)</f>
        <v/>
      </c>
      <c r="K100" s="21">
        <f>IFERROR(('3. Monthly'!O100-'3. Monthly'!P100)/'3. Monthly'!O100,"")</f>
        <v/>
      </c>
      <c r="L100" s="21">
        <f>IFERROR('3. Monthly'!Q100/'3. Monthly'!G100,"")</f>
        <v/>
      </c>
      <c r="M100" s="21">
        <f>IFERROR('3. Monthly'!R100/'3. Monthly'!F100,"")</f>
        <v/>
      </c>
      <c r="N100" s="21">
        <f>IF('3. Monthly'!S100="","",'3. Monthly'!S100)</f>
        <v/>
      </c>
      <c r="O100" s="4">
        <f>IF('3. Monthly'!T100="","",'3. Monthly'!T100)</f>
        <v/>
      </c>
      <c r="P100" s="21">
        <f>IFERROR('3. Monthly'!U100/'3. Monthly'!H100,"")</f>
        <v/>
      </c>
      <c r="Q100" s="21">
        <f>IFERROR('3. Monthly'!V100/'3. Monthly'!H100,"")</f>
        <v/>
      </c>
      <c r="R100" s="21">
        <f>IFERROR('3. Monthly'!W100/'3. Monthly'!H100,"")</f>
        <v/>
      </c>
      <c r="S100" s="4">
        <f>IF('3. Monthly'!X100="","",'3. Monthly'!X100)</f>
        <v/>
      </c>
    </row>
    <row r="101">
      <c r="A101" s="4">
        <f>IF('3. Monthly'!A101="","",'3. Monthly'!A101)</f>
        <v/>
      </c>
      <c r="B101" s="20">
        <f>IF('3. Monthly'!A101="","",'3. Monthly'!B101)</f>
        <v/>
      </c>
      <c r="C101" s="4">
        <f>IF('3. Monthly'!A101="","",'3. Monthly'!C101)</f>
        <v/>
      </c>
      <c r="D101" s="21">
        <f>IFERROR('3. Monthly'!D101/'3. Monthly'!E101,"")</f>
        <v/>
      </c>
      <c r="E101" s="21">
        <f>IFERROR('3. Monthly'!F101/'3. Monthly'!G101,"")</f>
        <v/>
      </c>
      <c r="F101" s="21">
        <f>IFERROR('3. Monthly'!H101/'3. Monthly'!I101,"")</f>
        <v/>
      </c>
      <c r="G101" s="4">
        <f>IF('3. Monthly'!J101="","",'3. Monthly'!J101)</f>
        <v/>
      </c>
      <c r="H101" s="4">
        <f>IFERROR('3. Monthly'!K101/'3. Monthly'!L101,"")</f>
        <v/>
      </c>
      <c r="I101" s="21">
        <f>IFERROR('3. Monthly'!M101/'3. Monthly'!K101,"")</f>
        <v/>
      </c>
      <c r="J101" s="4">
        <f>IF('3. Monthly'!N101="","",'3. Monthly'!N101)</f>
        <v/>
      </c>
      <c r="K101" s="21">
        <f>IFERROR(('3. Monthly'!O101-'3. Monthly'!P101)/'3. Monthly'!O101,"")</f>
        <v/>
      </c>
      <c r="L101" s="21">
        <f>IFERROR('3. Monthly'!Q101/'3. Monthly'!G101,"")</f>
        <v/>
      </c>
      <c r="M101" s="21">
        <f>IFERROR('3. Monthly'!R101/'3. Monthly'!F101,"")</f>
        <v/>
      </c>
      <c r="N101" s="21">
        <f>IF('3. Monthly'!S101="","",'3. Monthly'!S101)</f>
        <v/>
      </c>
      <c r="O101" s="4">
        <f>IF('3. Monthly'!T101="","",'3. Monthly'!T101)</f>
        <v/>
      </c>
      <c r="P101" s="21">
        <f>IFERROR('3. Monthly'!U101/'3. Monthly'!H101,"")</f>
        <v/>
      </c>
      <c r="Q101" s="21">
        <f>IFERROR('3. Monthly'!V101/'3. Monthly'!H101,"")</f>
        <v/>
      </c>
      <c r="R101" s="21">
        <f>IFERROR('3. Monthly'!W101/'3. Monthly'!H101,"")</f>
        <v/>
      </c>
      <c r="S101" s="4">
        <f>IF('3. Monthly'!X101="","",'3. Monthly'!X101)</f>
        <v/>
      </c>
    </row>
    <row r="102">
      <c r="A102" s="4">
        <f>IF('3. Monthly'!A102="","",'3. Monthly'!A102)</f>
        <v/>
      </c>
      <c r="B102" s="20">
        <f>IF('3. Monthly'!A102="","",'3. Monthly'!B102)</f>
        <v/>
      </c>
      <c r="C102" s="4">
        <f>IF('3. Monthly'!A102="","",'3. Monthly'!C102)</f>
        <v/>
      </c>
      <c r="D102" s="21">
        <f>IFERROR('3. Monthly'!D102/'3. Monthly'!E102,"")</f>
        <v/>
      </c>
      <c r="E102" s="21">
        <f>IFERROR('3. Monthly'!F102/'3. Monthly'!G102,"")</f>
        <v/>
      </c>
      <c r="F102" s="21">
        <f>IFERROR('3. Monthly'!H102/'3. Monthly'!I102,"")</f>
        <v/>
      </c>
      <c r="G102" s="4">
        <f>IF('3. Monthly'!J102="","",'3. Monthly'!J102)</f>
        <v/>
      </c>
      <c r="H102" s="4">
        <f>IFERROR('3. Monthly'!K102/'3. Monthly'!L102,"")</f>
        <v/>
      </c>
      <c r="I102" s="21">
        <f>IFERROR('3. Monthly'!M102/'3. Monthly'!K102,"")</f>
        <v/>
      </c>
      <c r="J102" s="4">
        <f>IF('3. Monthly'!N102="","",'3. Monthly'!N102)</f>
        <v/>
      </c>
      <c r="K102" s="21">
        <f>IFERROR(('3. Monthly'!O102-'3. Monthly'!P102)/'3. Monthly'!O102,"")</f>
        <v/>
      </c>
      <c r="L102" s="21">
        <f>IFERROR('3. Monthly'!Q102/'3. Monthly'!G102,"")</f>
        <v/>
      </c>
      <c r="M102" s="21">
        <f>IFERROR('3. Monthly'!R102/'3. Monthly'!F102,"")</f>
        <v/>
      </c>
      <c r="N102" s="21">
        <f>IF('3. Monthly'!S102="","",'3. Monthly'!S102)</f>
        <v/>
      </c>
      <c r="O102" s="4">
        <f>IF('3. Monthly'!T102="","",'3. Monthly'!T102)</f>
        <v/>
      </c>
      <c r="P102" s="21">
        <f>IFERROR('3. Monthly'!U102/'3. Monthly'!H102,"")</f>
        <v/>
      </c>
      <c r="Q102" s="21">
        <f>IFERROR('3. Monthly'!V102/'3. Monthly'!H102,"")</f>
        <v/>
      </c>
      <c r="R102" s="21">
        <f>IFERROR('3. Monthly'!W102/'3. Monthly'!H102,"")</f>
        <v/>
      </c>
      <c r="S102" s="4">
        <f>IF('3. Monthly'!X102="","",'3. Monthly'!X102)</f>
        <v/>
      </c>
    </row>
    <row r="103">
      <c r="A103" s="4">
        <f>IF('3. Monthly'!A103="","",'3. Monthly'!A103)</f>
        <v/>
      </c>
      <c r="B103" s="20">
        <f>IF('3. Monthly'!A103="","",'3. Monthly'!B103)</f>
        <v/>
      </c>
      <c r="C103" s="4">
        <f>IF('3. Monthly'!A103="","",'3. Monthly'!C103)</f>
        <v/>
      </c>
      <c r="D103" s="21">
        <f>IFERROR('3. Monthly'!D103/'3. Monthly'!E103,"")</f>
        <v/>
      </c>
      <c r="E103" s="21">
        <f>IFERROR('3. Monthly'!F103/'3. Monthly'!G103,"")</f>
        <v/>
      </c>
      <c r="F103" s="21">
        <f>IFERROR('3. Monthly'!H103/'3. Monthly'!I103,"")</f>
        <v/>
      </c>
      <c r="G103" s="4">
        <f>IF('3. Monthly'!J103="","",'3. Monthly'!J103)</f>
        <v/>
      </c>
      <c r="H103" s="4">
        <f>IFERROR('3. Monthly'!K103/'3. Monthly'!L103,"")</f>
        <v/>
      </c>
      <c r="I103" s="21">
        <f>IFERROR('3. Monthly'!M103/'3. Monthly'!K103,"")</f>
        <v/>
      </c>
      <c r="J103" s="4">
        <f>IF('3. Monthly'!N103="","",'3. Monthly'!N103)</f>
        <v/>
      </c>
      <c r="K103" s="21">
        <f>IFERROR(('3. Monthly'!O103-'3. Monthly'!P103)/'3. Monthly'!O103,"")</f>
        <v/>
      </c>
      <c r="L103" s="21">
        <f>IFERROR('3. Monthly'!Q103/'3. Monthly'!G103,"")</f>
        <v/>
      </c>
      <c r="M103" s="21">
        <f>IFERROR('3. Monthly'!R103/'3. Monthly'!F103,"")</f>
        <v/>
      </c>
      <c r="N103" s="21">
        <f>IF('3. Monthly'!S103="","",'3. Monthly'!S103)</f>
        <v/>
      </c>
      <c r="O103" s="4">
        <f>IF('3. Monthly'!T103="","",'3. Monthly'!T103)</f>
        <v/>
      </c>
      <c r="P103" s="21">
        <f>IFERROR('3. Monthly'!U103/'3. Monthly'!H103,"")</f>
        <v/>
      </c>
      <c r="Q103" s="21">
        <f>IFERROR('3. Monthly'!V103/'3. Monthly'!H103,"")</f>
        <v/>
      </c>
      <c r="R103" s="21">
        <f>IFERROR('3. Monthly'!W103/'3. Monthly'!H103,"")</f>
        <v/>
      </c>
      <c r="S103" s="4">
        <f>IF('3. Monthly'!X103="","",'3. Monthly'!X103)</f>
        <v/>
      </c>
    </row>
    <row r="104">
      <c r="A104" s="4">
        <f>IF('3. Monthly'!A104="","",'3. Monthly'!A104)</f>
        <v/>
      </c>
      <c r="B104" s="20">
        <f>IF('3. Monthly'!A104="","",'3. Monthly'!B104)</f>
        <v/>
      </c>
      <c r="C104" s="4">
        <f>IF('3. Monthly'!A104="","",'3. Monthly'!C104)</f>
        <v/>
      </c>
      <c r="D104" s="21">
        <f>IFERROR('3. Monthly'!D104/'3. Monthly'!E104,"")</f>
        <v/>
      </c>
      <c r="E104" s="21">
        <f>IFERROR('3. Monthly'!F104/'3. Monthly'!G104,"")</f>
        <v/>
      </c>
      <c r="F104" s="21">
        <f>IFERROR('3. Monthly'!H104/'3. Monthly'!I104,"")</f>
        <v/>
      </c>
      <c r="G104" s="4">
        <f>IF('3. Monthly'!J104="","",'3. Monthly'!J104)</f>
        <v/>
      </c>
      <c r="H104" s="4">
        <f>IFERROR('3. Monthly'!K104/'3. Monthly'!L104,"")</f>
        <v/>
      </c>
      <c r="I104" s="21">
        <f>IFERROR('3. Monthly'!M104/'3. Monthly'!K104,"")</f>
        <v/>
      </c>
      <c r="J104" s="4">
        <f>IF('3. Monthly'!N104="","",'3. Monthly'!N104)</f>
        <v/>
      </c>
      <c r="K104" s="21">
        <f>IFERROR(('3. Monthly'!O104-'3. Monthly'!P104)/'3. Monthly'!O104,"")</f>
        <v/>
      </c>
      <c r="L104" s="21">
        <f>IFERROR('3. Monthly'!Q104/'3. Monthly'!G104,"")</f>
        <v/>
      </c>
      <c r="M104" s="21">
        <f>IFERROR('3. Monthly'!R104/'3. Monthly'!F104,"")</f>
        <v/>
      </c>
      <c r="N104" s="21">
        <f>IF('3. Monthly'!S104="","",'3. Monthly'!S104)</f>
        <v/>
      </c>
      <c r="O104" s="4">
        <f>IF('3. Monthly'!T104="","",'3. Monthly'!T104)</f>
        <v/>
      </c>
      <c r="P104" s="21">
        <f>IFERROR('3. Monthly'!U104/'3. Monthly'!H104,"")</f>
        <v/>
      </c>
      <c r="Q104" s="21">
        <f>IFERROR('3. Monthly'!V104/'3. Monthly'!H104,"")</f>
        <v/>
      </c>
      <c r="R104" s="21">
        <f>IFERROR('3. Monthly'!W104/'3. Monthly'!H104,"")</f>
        <v/>
      </c>
      <c r="S104" s="4">
        <f>IF('3. Monthly'!X104="","",'3. Monthly'!X104)</f>
        <v/>
      </c>
    </row>
    <row r="105">
      <c r="A105" s="4">
        <f>IF('3. Monthly'!A105="","",'3. Monthly'!A105)</f>
        <v/>
      </c>
      <c r="B105" s="20">
        <f>IF('3. Monthly'!A105="","",'3. Monthly'!B105)</f>
        <v/>
      </c>
      <c r="C105" s="4">
        <f>IF('3. Monthly'!A105="","",'3. Monthly'!C105)</f>
        <v/>
      </c>
      <c r="D105" s="21">
        <f>IFERROR('3. Monthly'!D105/'3. Monthly'!E105,"")</f>
        <v/>
      </c>
      <c r="E105" s="21">
        <f>IFERROR('3. Monthly'!F105/'3. Monthly'!G105,"")</f>
        <v/>
      </c>
      <c r="F105" s="21">
        <f>IFERROR('3. Monthly'!H105/'3. Monthly'!I105,"")</f>
        <v/>
      </c>
      <c r="G105" s="4">
        <f>IF('3. Monthly'!J105="","",'3. Monthly'!J105)</f>
        <v/>
      </c>
      <c r="H105" s="4">
        <f>IFERROR('3. Monthly'!K105/'3. Monthly'!L105,"")</f>
        <v/>
      </c>
      <c r="I105" s="21">
        <f>IFERROR('3. Monthly'!M105/'3. Monthly'!K105,"")</f>
        <v/>
      </c>
      <c r="J105" s="4">
        <f>IF('3. Monthly'!N105="","",'3. Monthly'!N105)</f>
        <v/>
      </c>
      <c r="K105" s="21">
        <f>IFERROR(('3. Monthly'!O105-'3. Monthly'!P105)/'3. Monthly'!O105,"")</f>
        <v/>
      </c>
      <c r="L105" s="21">
        <f>IFERROR('3. Monthly'!Q105/'3. Monthly'!G105,"")</f>
        <v/>
      </c>
      <c r="M105" s="21">
        <f>IFERROR('3. Monthly'!R105/'3. Monthly'!F105,"")</f>
        <v/>
      </c>
      <c r="N105" s="21">
        <f>IF('3. Monthly'!S105="","",'3. Monthly'!S105)</f>
        <v/>
      </c>
      <c r="O105" s="4">
        <f>IF('3. Monthly'!T105="","",'3. Monthly'!T105)</f>
        <v/>
      </c>
      <c r="P105" s="21">
        <f>IFERROR('3. Monthly'!U105/'3. Monthly'!H105,"")</f>
        <v/>
      </c>
      <c r="Q105" s="21">
        <f>IFERROR('3. Monthly'!V105/'3. Monthly'!H105,"")</f>
        <v/>
      </c>
      <c r="R105" s="21">
        <f>IFERROR('3. Monthly'!W105/'3. Monthly'!H105,"")</f>
        <v/>
      </c>
      <c r="S105" s="4">
        <f>IF('3. Monthly'!X105="","",'3. Monthly'!X105)</f>
        <v/>
      </c>
    </row>
    <row r="106">
      <c r="A106" s="4">
        <f>IF('3. Monthly'!A106="","",'3. Monthly'!A106)</f>
        <v/>
      </c>
      <c r="B106" s="20">
        <f>IF('3. Monthly'!A106="","",'3. Monthly'!B106)</f>
        <v/>
      </c>
      <c r="C106" s="4">
        <f>IF('3. Monthly'!A106="","",'3. Monthly'!C106)</f>
        <v/>
      </c>
      <c r="D106" s="21">
        <f>IFERROR('3. Monthly'!D106/'3. Monthly'!E106,"")</f>
        <v/>
      </c>
      <c r="E106" s="21">
        <f>IFERROR('3. Monthly'!F106/'3. Monthly'!G106,"")</f>
        <v/>
      </c>
      <c r="F106" s="21">
        <f>IFERROR('3. Monthly'!H106/'3. Monthly'!I106,"")</f>
        <v/>
      </c>
      <c r="G106" s="4">
        <f>IF('3. Monthly'!J106="","",'3. Monthly'!J106)</f>
        <v/>
      </c>
      <c r="H106" s="4">
        <f>IFERROR('3. Monthly'!K106/'3. Monthly'!L106,"")</f>
        <v/>
      </c>
      <c r="I106" s="21">
        <f>IFERROR('3. Monthly'!M106/'3. Monthly'!K106,"")</f>
        <v/>
      </c>
      <c r="J106" s="4">
        <f>IF('3. Monthly'!N106="","",'3. Monthly'!N106)</f>
        <v/>
      </c>
      <c r="K106" s="21">
        <f>IFERROR(('3. Monthly'!O106-'3. Monthly'!P106)/'3. Monthly'!O106,"")</f>
        <v/>
      </c>
      <c r="L106" s="21">
        <f>IFERROR('3. Monthly'!Q106/'3. Monthly'!G106,"")</f>
        <v/>
      </c>
      <c r="M106" s="21">
        <f>IFERROR('3. Monthly'!R106/'3. Monthly'!F106,"")</f>
        <v/>
      </c>
      <c r="N106" s="21">
        <f>IF('3. Monthly'!S106="","",'3. Monthly'!S106)</f>
        <v/>
      </c>
      <c r="O106" s="4">
        <f>IF('3. Monthly'!T106="","",'3. Monthly'!T106)</f>
        <v/>
      </c>
      <c r="P106" s="21">
        <f>IFERROR('3. Monthly'!U106/'3. Monthly'!H106,"")</f>
        <v/>
      </c>
      <c r="Q106" s="21">
        <f>IFERROR('3. Monthly'!V106/'3. Monthly'!H106,"")</f>
        <v/>
      </c>
      <c r="R106" s="21">
        <f>IFERROR('3. Monthly'!W106/'3. Monthly'!H106,"")</f>
        <v/>
      </c>
      <c r="S106" s="4">
        <f>IF('3. Monthly'!X106="","",'3. Monthly'!X106)</f>
        <v/>
      </c>
    </row>
    <row r="107">
      <c r="A107" s="4">
        <f>IF('3. Monthly'!A107="","",'3. Monthly'!A107)</f>
        <v/>
      </c>
      <c r="B107" s="20">
        <f>IF('3. Monthly'!A107="","",'3. Monthly'!B107)</f>
        <v/>
      </c>
      <c r="C107" s="4">
        <f>IF('3. Monthly'!A107="","",'3. Monthly'!C107)</f>
        <v/>
      </c>
      <c r="D107" s="21">
        <f>IFERROR('3. Monthly'!D107/'3. Monthly'!E107,"")</f>
        <v/>
      </c>
      <c r="E107" s="21">
        <f>IFERROR('3. Monthly'!F107/'3. Monthly'!G107,"")</f>
        <v/>
      </c>
      <c r="F107" s="21">
        <f>IFERROR('3. Monthly'!H107/'3. Monthly'!I107,"")</f>
        <v/>
      </c>
      <c r="G107" s="4">
        <f>IF('3. Monthly'!J107="","",'3. Monthly'!J107)</f>
        <v/>
      </c>
      <c r="H107" s="4">
        <f>IFERROR('3. Monthly'!K107/'3. Monthly'!L107,"")</f>
        <v/>
      </c>
      <c r="I107" s="21">
        <f>IFERROR('3. Monthly'!M107/'3. Monthly'!K107,"")</f>
        <v/>
      </c>
      <c r="J107" s="4">
        <f>IF('3. Monthly'!N107="","",'3. Monthly'!N107)</f>
        <v/>
      </c>
      <c r="K107" s="21">
        <f>IFERROR(('3. Monthly'!O107-'3. Monthly'!P107)/'3. Monthly'!O107,"")</f>
        <v/>
      </c>
      <c r="L107" s="21">
        <f>IFERROR('3. Monthly'!Q107/'3. Monthly'!G107,"")</f>
        <v/>
      </c>
      <c r="M107" s="21">
        <f>IFERROR('3. Monthly'!R107/'3. Monthly'!F107,"")</f>
        <v/>
      </c>
      <c r="N107" s="21">
        <f>IF('3. Monthly'!S107="","",'3. Monthly'!S107)</f>
        <v/>
      </c>
      <c r="O107" s="4">
        <f>IF('3. Monthly'!T107="","",'3. Monthly'!T107)</f>
        <v/>
      </c>
      <c r="P107" s="21">
        <f>IFERROR('3. Monthly'!U107/'3. Monthly'!H107,"")</f>
        <v/>
      </c>
      <c r="Q107" s="21">
        <f>IFERROR('3. Monthly'!V107/'3. Monthly'!H107,"")</f>
        <v/>
      </c>
      <c r="R107" s="21">
        <f>IFERROR('3. Monthly'!W107/'3. Monthly'!H107,"")</f>
        <v/>
      </c>
      <c r="S107" s="4">
        <f>IF('3. Monthly'!X107="","",'3. Monthly'!X107)</f>
        <v/>
      </c>
    </row>
    <row r="108">
      <c r="A108" s="4">
        <f>IF('3. Monthly'!A108="","",'3. Monthly'!A108)</f>
        <v/>
      </c>
      <c r="B108" s="20">
        <f>IF('3. Monthly'!A108="","",'3. Monthly'!B108)</f>
        <v/>
      </c>
      <c r="C108" s="4">
        <f>IF('3. Monthly'!A108="","",'3. Monthly'!C108)</f>
        <v/>
      </c>
      <c r="D108" s="21">
        <f>IFERROR('3. Monthly'!D108/'3. Monthly'!E108,"")</f>
        <v/>
      </c>
      <c r="E108" s="21">
        <f>IFERROR('3. Monthly'!F108/'3. Monthly'!G108,"")</f>
        <v/>
      </c>
      <c r="F108" s="21">
        <f>IFERROR('3. Monthly'!H108/'3. Monthly'!I108,"")</f>
        <v/>
      </c>
      <c r="G108" s="4">
        <f>IF('3. Monthly'!J108="","",'3. Monthly'!J108)</f>
        <v/>
      </c>
      <c r="H108" s="4">
        <f>IFERROR('3. Monthly'!K108/'3. Monthly'!L108,"")</f>
        <v/>
      </c>
      <c r="I108" s="21">
        <f>IFERROR('3. Monthly'!M108/'3. Monthly'!K108,"")</f>
        <v/>
      </c>
      <c r="J108" s="4">
        <f>IF('3. Monthly'!N108="","",'3. Monthly'!N108)</f>
        <v/>
      </c>
      <c r="K108" s="21">
        <f>IFERROR(('3. Monthly'!O108-'3. Monthly'!P108)/'3. Monthly'!O108,"")</f>
        <v/>
      </c>
      <c r="L108" s="21">
        <f>IFERROR('3. Monthly'!Q108/'3. Monthly'!G108,"")</f>
        <v/>
      </c>
      <c r="M108" s="21">
        <f>IFERROR('3. Monthly'!R108/'3. Monthly'!F108,"")</f>
        <v/>
      </c>
      <c r="N108" s="21">
        <f>IF('3. Monthly'!S108="","",'3. Monthly'!S108)</f>
        <v/>
      </c>
      <c r="O108" s="4">
        <f>IF('3. Monthly'!T108="","",'3. Monthly'!T108)</f>
        <v/>
      </c>
      <c r="P108" s="21">
        <f>IFERROR('3. Monthly'!U108/'3. Monthly'!H108,"")</f>
        <v/>
      </c>
      <c r="Q108" s="21">
        <f>IFERROR('3. Monthly'!V108/'3. Monthly'!H108,"")</f>
        <v/>
      </c>
      <c r="R108" s="21">
        <f>IFERROR('3. Monthly'!W108/'3. Monthly'!H108,"")</f>
        <v/>
      </c>
      <c r="S108" s="4">
        <f>IF('3. Monthly'!X108="","",'3. Monthly'!X108)</f>
        <v/>
      </c>
    </row>
    <row r="109">
      <c r="A109" s="4">
        <f>IF('3. Monthly'!A109="","",'3. Monthly'!A109)</f>
        <v/>
      </c>
      <c r="B109" s="20">
        <f>IF('3. Monthly'!A109="","",'3. Monthly'!B109)</f>
        <v/>
      </c>
      <c r="C109" s="4">
        <f>IF('3. Monthly'!A109="","",'3. Monthly'!C109)</f>
        <v/>
      </c>
      <c r="D109" s="21">
        <f>IFERROR('3. Monthly'!D109/'3. Monthly'!E109,"")</f>
        <v/>
      </c>
      <c r="E109" s="21">
        <f>IFERROR('3. Monthly'!F109/'3. Monthly'!G109,"")</f>
        <v/>
      </c>
      <c r="F109" s="21">
        <f>IFERROR('3. Monthly'!H109/'3. Monthly'!I109,"")</f>
        <v/>
      </c>
      <c r="G109" s="4">
        <f>IF('3. Monthly'!J109="","",'3. Monthly'!J109)</f>
        <v/>
      </c>
      <c r="H109" s="4">
        <f>IFERROR('3. Monthly'!K109/'3. Monthly'!L109,"")</f>
        <v/>
      </c>
      <c r="I109" s="21">
        <f>IFERROR('3. Monthly'!M109/'3. Monthly'!K109,"")</f>
        <v/>
      </c>
      <c r="J109" s="4">
        <f>IF('3. Monthly'!N109="","",'3. Monthly'!N109)</f>
        <v/>
      </c>
      <c r="K109" s="21">
        <f>IFERROR(('3. Monthly'!O109-'3. Monthly'!P109)/'3. Monthly'!O109,"")</f>
        <v/>
      </c>
      <c r="L109" s="21">
        <f>IFERROR('3. Monthly'!Q109/'3. Monthly'!G109,"")</f>
        <v/>
      </c>
      <c r="M109" s="21">
        <f>IFERROR('3. Monthly'!R109/'3. Monthly'!F109,"")</f>
        <v/>
      </c>
      <c r="N109" s="21">
        <f>IF('3. Monthly'!S109="","",'3. Monthly'!S109)</f>
        <v/>
      </c>
      <c r="O109" s="4">
        <f>IF('3. Monthly'!T109="","",'3. Monthly'!T109)</f>
        <v/>
      </c>
      <c r="P109" s="21">
        <f>IFERROR('3. Monthly'!U109/'3. Monthly'!H109,"")</f>
        <v/>
      </c>
      <c r="Q109" s="21">
        <f>IFERROR('3. Monthly'!V109/'3. Monthly'!H109,"")</f>
        <v/>
      </c>
      <c r="R109" s="21">
        <f>IFERROR('3. Monthly'!W109/'3. Monthly'!H109,"")</f>
        <v/>
      </c>
      <c r="S109" s="4">
        <f>IF('3. Monthly'!X109="","",'3. Monthly'!X109)</f>
        <v/>
      </c>
    </row>
    <row r="110">
      <c r="A110" s="4">
        <f>IF('3. Monthly'!A110="","",'3. Monthly'!A110)</f>
        <v/>
      </c>
      <c r="B110" s="20">
        <f>IF('3. Monthly'!A110="","",'3. Monthly'!B110)</f>
        <v/>
      </c>
      <c r="C110" s="4">
        <f>IF('3. Monthly'!A110="","",'3. Monthly'!C110)</f>
        <v/>
      </c>
      <c r="D110" s="21">
        <f>IFERROR('3. Monthly'!D110/'3. Monthly'!E110,"")</f>
        <v/>
      </c>
      <c r="E110" s="21">
        <f>IFERROR('3. Monthly'!F110/'3. Monthly'!G110,"")</f>
        <v/>
      </c>
      <c r="F110" s="21">
        <f>IFERROR('3. Monthly'!H110/'3. Monthly'!I110,"")</f>
        <v/>
      </c>
      <c r="G110" s="4">
        <f>IF('3. Monthly'!J110="","",'3. Monthly'!J110)</f>
        <v/>
      </c>
      <c r="H110" s="4">
        <f>IFERROR('3. Monthly'!K110/'3. Monthly'!L110,"")</f>
        <v/>
      </c>
      <c r="I110" s="21">
        <f>IFERROR('3. Monthly'!M110/'3. Monthly'!K110,"")</f>
        <v/>
      </c>
      <c r="J110" s="4">
        <f>IF('3. Monthly'!N110="","",'3. Monthly'!N110)</f>
        <v/>
      </c>
      <c r="K110" s="21">
        <f>IFERROR(('3. Monthly'!O110-'3. Monthly'!P110)/'3. Monthly'!O110,"")</f>
        <v/>
      </c>
      <c r="L110" s="21">
        <f>IFERROR('3. Monthly'!Q110/'3. Monthly'!G110,"")</f>
        <v/>
      </c>
      <c r="M110" s="21">
        <f>IFERROR('3. Monthly'!R110/'3. Monthly'!F110,"")</f>
        <v/>
      </c>
      <c r="N110" s="21">
        <f>IF('3. Monthly'!S110="","",'3. Monthly'!S110)</f>
        <v/>
      </c>
      <c r="O110" s="4">
        <f>IF('3. Monthly'!T110="","",'3. Monthly'!T110)</f>
        <v/>
      </c>
      <c r="P110" s="21">
        <f>IFERROR('3. Monthly'!U110/'3. Monthly'!H110,"")</f>
        <v/>
      </c>
      <c r="Q110" s="21">
        <f>IFERROR('3. Monthly'!V110/'3. Monthly'!H110,"")</f>
        <v/>
      </c>
      <c r="R110" s="21">
        <f>IFERROR('3. Monthly'!W110/'3. Monthly'!H110,"")</f>
        <v/>
      </c>
      <c r="S110" s="4">
        <f>IF('3. Monthly'!X110="","",'3. Monthly'!X110)</f>
        <v/>
      </c>
    </row>
    <row r="111">
      <c r="A111" s="4">
        <f>IF('3. Monthly'!A111="","",'3. Monthly'!A111)</f>
        <v/>
      </c>
      <c r="B111" s="20">
        <f>IF('3. Monthly'!A111="","",'3. Monthly'!B111)</f>
        <v/>
      </c>
      <c r="C111" s="4">
        <f>IF('3. Monthly'!A111="","",'3. Monthly'!C111)</f>
        <v/>
      </c>
      <c r="D111" s="21">
        <f>IFERROR('3. Monthly'!D111/'3. Monthly'!E111,"")</f>
        <v/>
      </c>
      <c r="E111" s="21">
        <f>IFERROR('3. Monthly'!F111/'3. Monthly'!G111,"")</f>
        <v/>
      </c>
      <c r="F111" s="21">
        <f>IFERROR('3. Monthly'!H111/'3. Monthly'!I111,"")</f>
        <v/>
      </c>
      <c r="G111" s="4">
        <f>IF('3. Monthly'!J111="","",'3. Monthly'!J111)</f>
        <v/>
      </c>
      <c r="H111" s="4">
        <f>IFERROR('3. Monthly'!K111/'3. Monthly'!L111,"")</f>
        <v/>
      </c>
      <c r="I111" s="21">
        <f>IFERROR('3. Monthly'!M111/'3. Monthly'!K111,"")</f>
        <v/>
      </c>
      <c r="J111" s="4">
        <f>IF('3. Monthly'!N111="","",'3. Monthly'!N111)</f>
        <v/>
      </c>
      <c r="K111" s="21">
        <f>IFERROR(('3. Monthly'!O111-'3. Monthly'!P111)/'3. Monthly'!O111,"")</f>
        <v/>
      </c>
      <c r="L111" s="21">
        <f>IFERROR('3. Monthly'!Q111/'3. Monthly'!G111,"")</f>
        <v/>
      </c>
      <c r="M111" s="21">
        <f>IFERROR('3. Monthly'!R111/'3. Monthly'!F111,"")</f>
        <v/>
      </c>
      <c r="N111" s="21">
        <f>IF('3. Monthly'!S111="","",'3. Monthly'!S111)</f>
        <v/>
      </c>
      <c r="O111" s="4">
        <f>IF('3. Monthly'!T111="","",'3. Monthly'!T111)</f>
        <v/>
      </c>
      <c r="P111" s="21">
        <f>IFERROR('3. Monthly'!U111/'3. Monthly'!H111,"")</f>
        <v/>
      </c>
      <c r="Q111" s="21">
        <f>IFERROR('3. Monthly'!V111/'3. Monthly'!H111,"")</f>
        <v/>
      </c>
      <c r="R111" s="21">
        <f>IFERROR('3. Monthly'!W111/'3. Monthly'!H111,"")</f>
        <v/>
      </c>
      <c r="S111" s="4">
        <f>IF('3. Monthly'!X111="","",'3. Monthly'!X111)</f>
        <v/>
      </c>
    </row>
    <row r="112">
      <c r="A112" s="4">
        <f>IF('3. Monthly'!A112="","",'3. Monthly'!A112)</f>
        <v/>
      </c>
      <c r="B112" s="20">
        <f>IF('3. Monthly'!A112="","",'3. Monthly'!B112)</f>
        <v/>
      </c>
      <c r="C112" s="4">
        <f>IF('3. Monthly'!A112="","",'3. Monthly'!C112)</f>
        <v/>
      </c>
      <c r="D112" s="21">
        <f>IFERROR('3. Monthly'!D112/'3. Monthly'!E112,"")</f>
        <v/>
      </c>
      <c r="E112" s="21">
        <f>IFERROR('3. Monthly'!F112/'3. Monthly'!G112,"")</f>
        <v/>
      </c>
      <c r="F112" s="21">
        <f>IFERROR('3. Monthly'!H112/'3. Monthly'!I112,"")</f>
        <v/>
      </c>
      <c r="G112" s="4">
        <f>IF('3. Monthly'!J112="","",'3. Monthly'!J112)</f>
        <v/>
      </c>
      <c r="H112" s="4">
        <f>IFERROR('3. Monthly'!K112/'3. Monthly'!L112,"")</f>
        <v/>
      </c>
      <c r="I112" s="21">
        <f>IFERROR('3. Monthly'!M112/'3. Monthly'!K112,"")</f>
        <v/>
      </c>
      <c r="J112" s="4">
        <f>IF('3. Monthly'!N112="","",'3. Monthly'!N112)</f>
        <v/>
      </c>
      <c r="K112" s="21">
        <f>IFERROR(('3. Monthly'!O112-'3. Monthly'!P112)/'3. Monthly'!O112,"")</f>
        <v/>
      </c>
      <c r="L112" s="21">
        <f>IFERROR('3. Monthly'!Q112/'3. Monthly'!G112,"")</f>
        <v/>
      </c>
      <c r="M112" s="21">
        <f>IFERROR('3. Monthly'!R112/'3. Monthly'!F112,"")</f>
        <v/>
      </c>
      <c r="N112" s="21">
        <f>IF('3. Monthly'!S112="","",'3. Monthly'!S112)</f>
        <v/>
      </c>
      <c r="O112" s="4">
        <f>IF('3. Monthly'!T112="","",'3. Monthly'!T112)</f>
        <v/>
      </c>
      <c r="P112" s="21">
        <f>IFERROR('3. Monthly'!U112/'3. Monthly'!H112,"")</f>
        <v/>
      </c>
      <c r="Q112" s="21">
        <f>IFERROR('3. Monthly'!V112/'3. Monthly'!H112,"")</f>
        <v/>
      </c>
      <c r="R112" s="21">
        <f>IFERROR('3. Monthly'!W112/'3. Monthly'!H112,"")</f>
        <v/>
      </c>
      <c r="S112" s="4">
        <f>IF('3. Monthly'!X112="","",'3. Monthly'!X112)</f>
        <v/>
      </c>
    </row>
    <row r="113">
      <c r="A113" s="4">
        <f>IF('3. Monthly'!A113="","",'3. Monthly'!A113)</f>
        <v/>
      </c>
      <c r="B113" s="20">
        <f>IF('3. Monthly'!A113="","",'3. Monthly'!B113)</f>
        <v/>
      </c>
      <c r="C113" s="4">
        <f>IF('3. Monthly'!A113="","",'3. Monthly'!C113)</f>
        <v/>
      </c>
      <c r="D113" s="21">
        <f>IFERROR('3. Monthly'!D113/'3. Monthly'!E113,"")</f>
        <v/>
      </c>
      <c r="E113" s="21">
        <f>IFERROR('3. Monthly'!F113/'3. Monthly'!G113,"")</f>
        <v/>
      </c>
      <c r="F113" s="21">
        <f>IFERROR('3. Monthly'!H113/'3. Monthly'!I113,"")</f>
        <v/>
      </c>
      <c r="G113" s="4">
        <f>IF('3. Monthly'!J113="","",'3. Monthly'!J113)</f>
        <v/>
      </c>
      <c r="H113" s="4">
        <f>IFERROR('3. Monthly'!K113/'3. Monthly'!L113,"")</f>
        <v/>
      </c>
      <c r="I113" s="21">
        <f>IFERROR('3. Monthly'!M113/'3. Monthly'!K113,"")</f>
        <v/>
      </c>
      <c r="J113" s="4">
        <f>IF('3. Monthly'!N113="","",'3. Monthly'!N113)</f>
        <v/>
      </c>
      <c r="K113" s="21">
        <f>IFERROR(('3. Monthly'!O113-'3. Monthly'!P113)/'3. Monthly'!O113,"")</f>
        <v/>
      </c>
      <c r="L113" s="21">
        <f>IFERROR('3. Monthly'!Q113/'3. Monthly'!G113,"")</f>
        <v/>
      </c>
      <c r="M113" s="21">
        <f>IFERROR('3. Monthly'!R113/'3. Monthly'!F113,"")</f>
        <v/>
      </c>
      <c r="N113" s="21">
        <f>IF('3. Monthly'!S113="","",'3. Monthly'!S113)</f>
        <v/>
      </c>
      <c r="O113" s="4">
        <f>IF('3. Monthly'!T113="","",'3. Monthly'!T113)</f>
        <v/>
      </c>
      <c r="P113" s="21">
        <f>IFERROR('3. Monthly'!U113/'3. Monthly'!H113,"")</f>
        <v/>
      </c>
      <c r="Q113" s="21">
        <f>IFERROR('3. Monthly'!V113/'3. Monthly'!H113,"")</f>
        <v/>
      </c>
      <c r="R113" s="21">
        <f>IFERROR('3. Monthly'!W113/'3. Monthly'!H113,"")</f>
        <v/>
      </c>
      <c r="S113" s="4">
        <f>IF('3. Monthly'!X113="","",'3. Monthly'!X113)</f>
        <v/>
      </c>
    </row>
    <row r="114">
      <c r="A114" s="4">
        <f>IF('3. Monthly'!A114="","",'3. Monthly'!A114)</f>
        <v/>
      </c>
      <c r="B114" s="20">
        <f>IF('3. Monthly'!A114="","",'3. Monthly'!B114)</f>
        <v/>
      </c>
      <c r="C114" s="4">
        <f>IF('3. Monthly'!A114="","",'3. Monthly'!C114)</f>
        <v/>
      </c>
      <c r="D114" s="21">
        <f>IFERROR('3. Monthly'!D114/'3. Monthly'!E114,"")</f>
        <v/>
      </c>
      <c r="E114" s="21">
        <f>IFERROR('3. Monthly'!F114/'3. Monthly'!G114,"")</f>
        <v/>
      </c>
      <c r="F114" s="21">
        <f>IFERROR('3. Monthly'!H114/'3. Monthly'!I114,"")</f>
        <v/>
      </c>
      <c r="G114" s="4">
        <f>IF('3. Monthly'!J114="","",'3. Monthly'!J114)</f>
        <v/>
      </c>
      <c r="H114" s="4">
        <f>IFERROR('3. Monthly'!K114/'3. Monthly'!L114,"")</f>
        <v/>
      </c>
      <c r="I114" s="21">
        <f>IFERROR('3. Monthly'!M114/'3. Monthly'!K114,"")</f>
        <v/>
      </c>
      <c r="J114" s="4">
        <f>IF('3. Monthly'!N114="","",'3. Monthly'!N114)</f>
        <v/>
      </c>
      <c r="K114" s="21">
        <f>IFERROR(('3. Monthly'!O114-'3. Monthly'!P114)/'3. Monthly'!O114,"")</f>
        <v/>
      </c>
      <c r="L114" s="21">
        <f>IFERROR('3. Monthly'!Q114/'3. Monthly'!G114,"")</f>
        <v/>
      </c>
      <c r="M114" s="21">
        <f>IFERROR('3. Monthly'!R114/'3. Monthly'!F114,"")</f>
        <v/>
      </c>
      <c r="N114" s="21">
        <f>IF('3. Monthly'!S114="","",'3. Monthly'!S114)</f>
        <v/>
      </c>
      <c r="O114" s="4">
        <f>IF('3. Monthly'!T114="","",'3. Monthly'!T114)</f>
        <v/>
      </c>
      <c r="P114" s="21">
        <f>IFERROR('3. Monthly'!U114/'3. Monthly'!H114,"")</f>
        <v/>
      </c>
      <c r="Q114" s="21">
        <f>IFERROR('3. Monthly'!V114/'3. Monthly'!H114,"")</f>
        <v/>
      </c>
      <c r="R114" s="21">
        <f>IFERROR('3. Monthly'!W114/'3. Monthly'!H114,"")</f>
        <v/>
      </c>
      <c r="S114" s="4">
        <f>IF('3. Monthly'!X114="","",'3. Monthly'!X114)</f>
        <v/>
      </c>
    </row>
    <row r="115">
      <c r="A115" s="4">
        <f>IF('3. Monthly'!A115="","",'3. Monthly'!A115)</f>
        <v/>
      </c>
      <c r="B115" s="20">
        <f>IF('3. Monthly'!A115="","",'3. Monthly'!B115)</f>
        <v/>
      </c>
      <c r="C115" s="4">
        <f>IF('3. Monthly'!A115="","",'3. Monthly'!C115)</f>
        <v/>
      </c>
      <c r="D115" s="21">
        <f>IFERROR('3. Monthly'!D115/'3. Monthly'!E115,"")</f>
        <v/>
      </c>
      <c r="E115" s="21">
        <f>IFERROR('3. Monthly'!F115/'3. Monthly'!G115,"")</f>
        <v/>
      </c>
      <c r="F115" s="21">
        <f>IFERROR('3. Monthly'!H115/'3. Monthly'!I115,"")</f>
        <v/>
      </c>
      <c r="G115" s="4">
        <f>IF('3. Monthly'!J115="","",'3. Monthly'!J115)</f>
        <v/>
      </c>
      <c r="H115" s="4">
        <f>IFERROR('3. Monthly'!K115/'3. Monthly'!L115,"")</f>
        <v/>
      </c>
      <c r="I115" s="21">
        <f>IFERROR('3. Monthly'!M115/'3. Monthly'!K115,"")</f>
        <v/>
      </c>
      <c r="J115" s="4">
        <f>IF('3. Monthly'!N115="","",'3. Monthly'!N115)</f>
        <v/>
      </c>
      <c r="K115" s="21">
        <f>IFERROR(('3. Monthly'!O115-'3. Monthly'!P115)/'3. Monthly'!O115,"")</f>
        <v/>
      </c>
      <c r="L115" s="21">
        <f>IFERROR('3. Monthly'!Q115/'3. Monthly'!G115,"")</f>
        <v/>
      </c>
      <c r="M115" s="21">
        <f>IFERROR('3. Monthly'!R115/'3. Monthly'!F115,"")</f>
        <v/>
      </c>
      <c r="N115" s="21">
        <f>IF('3. Monthly'!S115="","",'3. Monthly'!S115)</f>
        <v/>
      </c>
      <c r="O115" s="4">
        <f>IF('3. Monthly'!T115="","",'3. Monthly'!T115)</f>
        <v/>
      </c>
      <c r="P115" s="21">
        <f>IFERROR('3. Monthly'!U115/'3. Monthly'!H115,"")</f>
        <v/>
      </c>
      <c r="Q115" s="21">
        <f>IFERROR('3. Monthly'!V115/'3. Monthly'!H115,"")</f>
        <v/>
      </c>
      <c r="R115" s="21">
        <f>IFERROR('3. Monthly'!W115/'3. Monthly'!H115,"")</f>
        <v/>
      </c>
      <c r="S115" s="4">
        <f>IF('3. Monthly'!X115="","",'3. Monthly'!X115)</f>
        <v/>
      </c>
    </row>
    <row r="116">
      <c r="A116" s="4">
        <f>IF('3. Monthly'!A116="","",'3. Monthly'!A116)</f>
        <v/>
      </c>
      <c r="B116" s="20">
        <f>IF('3. Monthly'!A116="","",'3. Monthly'!B116)</f>
        <v/>
      </c>
      <c r="C116" s="4">
        <f>IF('3. Monthly'!A116="","",'3. Monthly'!C116)</f>
        <v/>
      </c>
      <c r="D116" s="21">
        <f>IFERROR('3. Monthly'!D116/'3. Monthly'!E116,"")</f>
        <v/>
      </c>
      <c r="E116" s="21">
        <f>IFERROR('3. Monthly'!F116/'3. Monthly'!G116,"")</f>
        <v/>
      </c>
      <c r="F116" s="21">
        <f>IFERROR('3. Monthly'!H116/'3. Monthly'!I116,"")</f>
        <v/>
      </c>
      <c r="G116" s="4">
        <f>IF('3. Monthly'!J116="","",'3. Monthly'!J116)</f>
        <v/>
      </c>
      <c r="H116" s="4">
        <f>IFERROR('3. Monthly'!K116/'3. Monthly'!L116,"")</f>
        <v/>
      </c>
      <c r="I116" s="21">
        <f>IFERROR('3. Monthly'!M116/'3. Monthly'!K116,"")</f>
        <v/>
      </c>
      <c r="J116" s="4">
        <f>IF('3. Monthly'!N116="","",'3. Monthly'!N116)</f>
        <v/>
      </c>
      <c r="K116" s="21">
        <f>IFERROR(('3. Monthly'!O116-'3. Monthly'!P116)/'3. Monthly'!O116,"")</f>
        <v/>
      </c>
      <c r="L116" s="21">
        <f>IFERROR('3. Monthly'!Q116/'3. Monthly'!G116,"")</f>
        <v/>
      </c>
      <c r="M116" s="21">
        <f>IFERROR('3. Monthly'!R116/'3. Monthly'!F116,"")</f>
        <v/>
      </c>
      <c r="N116" s="21">
        <f>IF('3. Monthly'!S116="","",'3. Monthly'!S116)</f>
        <v/>
      </c>
      <c r="O116" s="4">
        <f>IF('3. Monthly'!T116="","",'3. Monthly'!T116)</f>
        <v/>
      </c>
      <c r="P116" s="21">
        <f>IFERROR('3. Monthly'!U116/'3. Monthly'!H116,"")</f>
        <v/>
      </c>
      <c r="Q116" s="21">
        <f>IFERROR('3. Monthly'!V116/'3. Monthly'!H116,"")</f>
        <v/>
      </c>
      <c r="R116" s="21">
        <f>IFERROR('3. Monthly'!W116/'3. Monthly'!H116,"")</f>
        <v/>
      </c>
      <c r="S116" s="4">
        <f>IF('3. Monthly'!X116="","",'3. Monthly'!X116)</f>
        <v/>
      </c>
    </row>
    <row r="117">
      <c r="A117" s="4">
        <f>IF('3. Monthly'!A117="","",'3. Monthly'!A117)</f>
        <v/>
      </c>
      <c r="B117" s="20">
        <f>IF('3. Monthly'!A117="","",'3. Monthly'!B117)</f>
        <v/>
      </c>
      <c r="C117" s="4">
        <f>IF('3. Monthly'!A117="","",'3. Monthly'!C117)</f>
        <v/>
      </c>
      <c r="D117" s="21">
        <f>IFERROR('3. Monthly'!D117/'3. Monthly'!E117,"")</f>
        <v/>
      </c>
      <c r="E117" s="21">
        <f>IFERROR('3. Monthly'!F117/'3. Monthly'!G117,"")</f>
        <v/>
      </c>
      <c r="F117" s="21">
        <f>IFERROR('3. Monthly'!H117/'3. Monthly'!I117,"")</f>
        <v/>
      </c>
      <c r="G117" s="4">
        <f>IF('3. Monthly'!J117="","",'3. Monthly'!J117)</f>
        <v/>
      </c>
      <c r="H117" s="4">
        <f>IFERROR('3. Monthly'!K117/'3. Monthly'!L117,"")</f>
        <v/>
      </c>
      <c r="I117" s="21">
        <f>IFERROR('3. Monthly'!M117/'3. Monthly'!K117,"")</f>
        <v/>
      </c>
      <c r="J117" s="4">
        <f>IF('3. Monthly'!N117="","",'3. Monthly'!N117)</f>
        <v/>
      </c>
      <c r="K117" s="21">
        <f>IFERROR(('3. Monthly'!O117-'3. Monthly'!P117)/'3. Monthly'!O117,"")</f>
        <v/>
      </c>
      <c r="L117" s="21">
        <f>IFERROR('3. Monthly'!Q117/'3. Monthly'!G117,"")</f>
        <v/>
      </c>
      <c r="M117" s="21">
        <f>IFERROR('3. Monthly'!R117/'3. Monthly'!F117,"")</f>
        <v/>
      </c>
      <c r="N117" s="21">
        <f>IF('3. Monthly'!S117="","",'3. Monthly'!S117)</f>
        <v/>
      </c>
      <c r="O117" s="4">
        <f>IF('3. Monthly'!T117="","",'3. Monthly'!T117)</f>
        <v/>
      </c>
      <c r="P117" s="21">
        <f>IFERROR('3. Monthly'!U117/'3. Monthly'!H117,"")</f>
        <v/>
      </c>
      <c r="Q117" s="21">
        <f>IFERROR('3. Monthly'!V117/'3. Monthly'!H117,"")</f>
        <v/>
      </c>
      <c r="R117" s="21">
        <f>IFERROR('3. Monthly'!W117/'3. Monthly'!H117,"")</f>
        <v/>
      </c>
      <c r="S117" s="4">
        <f>IF('3. Monthly'!X117="","",'3. Monthly'!X117)</f>
        <v/>
      </c>
    </row>
    <row r="118">
      <c r="A118" s="4">
        <f>IF('3. Monthly'!A118="","",'3. Monthly'!A118)</f>
        <v/>
      </c>
      <c r="B118" s="20">
        <f>IF('3. Monthly'!A118="","",'3. Monthly'!B118)</f>
        <v/>
      </c>
      <c r="C118" s="4">
        <f>IF('3. Monthly'!A118="","",'3. Monthly'!C118)</f>
        <v/>
      </c>
      <c r="D118" s="21">
        <f>IFERROR('3. Monthly'!D118/'3. Monthly'!E118,"")</f>
        <v/>
      </c>
      <c r="E118" s="21">
        <f>IFERROR('3. Monthly'!F118/'3. Monthly'!G118,"")</f>
        <v/>
      </c>
      <c r="F118" s="21">
        <f>IFERROR('3. Monthly'!H118/'3. Monthly'!I118,"")</f>
        <v/>
      </c>
      <c r="G118" s="4">
        <f>IF('3. Monthly'!J118="","",'3. Monthly'!J118)</f>
        <v/>
      </c>
      <c r="H118" s="4">
        <f>IFERROR('3. Monthly'!K118/'3. Monthly'!L118,"")</f>
        <v/>
      </c>
      <c r="I118" s="21">
        <f>IFERROR('3. Monthly'!M118/'3. Monthly'!K118,"")</f>
        <v/>
      </c>
      <c r="J118" s="4">
        <f>IF('3. Monthly'!N118="","",'3. Monthly'!N118)</f>
        <v/>
      </c>
      <c r="K118" s="21">
        <f>IFERROR(('3. Monthly'!O118-'3. Monthly'!P118)/'3. Monthly'!O118,"")</f>
        <v/>
      </c>
      <c r="L118" s="21">
        <f>IFERROR('3. Monthly'!Q118/'3. Monthly'!G118,"")</f>
        <v/>
      </c>
      <c r="M118" s="21">
        <f>IFERROR('3. Monthly'!R118/'3. Monthly'!F118,"")</f>
        <v/>
      </c>
      <c r="N118" s="21">
        <f>IF('3. Monthly'!S118="","",'3. Monthly'!S118)</f>
        <v/>
      </c>
      <c r="O118" s="4">
        <f>IF('3. Monthly'!T118="","",'3. Monthly'!T118)</f>
        <v/>
      </c>
      <c r="P118" s="21">
        <f>IFERROR('3. Monthly'!U118/'3. Monthly'!H118,"")</f>
        <v/>
      </c>
      <c r="Q118" s="21">
        <f>IFERROR('3. Monthly'!V118/'3. Monthly'!H118,"")</f>
        <v/>
      </c>
      <c r="R118" s="21">
        <f>IFERROR('3. Monthly'!W118/'3. Monthly'!H118,"")</f>
        <v/>
      </c>
      <c r="S118" s="4">
        <f>IF('3. Monthly'!X118="","",'3. Monthly'!X118)</f>
        <v/>
      </c>
    </row>
    <row r="119">
      <c r="A119" s="4">
        <f>IF('3. Monthly'!A119="","",'3. Monthly'!A119)</f>
        <v/>
      </c>
      <c r="B119" s="20">
        <f>IF('3. Monthly'!A119="","",'3. Monthly'!B119)</f>
        <v/>
      </c>
      <c r="C119" s="4">
        <f>IF('3. Monthly'!A119="","",'3. Monthly'!C119)</f>
        <v/>
      </c>
      <c r="D119" s="21">
        <f>IFERROR('3. Monthly'!D119/'3. Monthly'!E119,"")</f>
        <v/>
      </c>
      <c r="E119" s="21">
        <f>IFERROR('3. Monthly'!F119/'3. Monthly'!G119,"")</f>
        <v/>
      </c>
      <c r="F119" s="21">
        <f>IFERROR('3. Monthly'!H119/'3. Monthly'!I119,"")</f>
        <v/>
      </c>
      <c r="G119" s="4">
        <f>IF('3. Monthly'!J119="","",'3. Monthly'!J119)</f>
        <v/>
      </c>
      <c r="H119" s="4">
        <f>IFERROR('3. Monthly'!K119/'3. Monthly'!L119,"")</f>
        <v/>
      </c>
      <c r="I119" s="21">
        <f>IFERROR('3. Monthly'!M119/'3. Monthly'!K119,"")</f>
        <v/>
      </c>
      <c r="J119" s="4">
        <f>IF('3. Monthly'!N119="","",'3. Monthly'!N119)</f>
        <v/>
      </c>
      <c r="K119" s="21">
        <f>IFERROR(('3. Monthly'!O119-'3. Monthly'!P119)/'3. Monthly'!O119,"")</f>
        <v/>
      </c>
      <c r="L119" s="21">
        <f>IFERROR('3. Monthly'!Q119/'3. Monthly'!G119,"")</f>
        <v/>
      </c>
      <c r="M119" s="21">
        <f>IFERROR('3. Monthly'!R119/'3. Monthly'!F119,"")</f>
        <v/>
      </c>
      <c r="N119" s="21">
        <f>IF('3. Monthly'!S119="","",'3. Monthly'!S119)</f>
        <v/>
      </c>
      <c r="O119" s="4">
        <f>IF('3. Monthly'!T119="","",'3. Monthly'!T119)</f>
        <v/>
      </c>
      <c r="P119" s="21">
        <f>IFERROR('3. Monthly'!U119/'3. Monthly'!H119,"")</f>
        <v/>
      </c>
      <c r="Q119" s="21">
        <f>IFERROR('3. Monthly'!V119/'3. Monthly'!H119,"")</f>
        <v/>
      </c>
      <c r="R119" s="21">
        <f>IFERROR('3. Monthly'!W119/'3. Monthly'!H119,"")</f>
        <v/>
      </c>
      <c r="S119" s="4">
        <f>IF('3. Monthly'!X119="","",'3. Monthly'!X119)</f>
        <v/>
      </c>
    </row>
    <row r="120">
      <c r="A120" s="4">
        <f>IF('3. Monthly'!A120="","",'3. Monthly'!A120)</f>
        <v/>
      </c>
      <c r="B120" s="20">
        <f>IF('3. Monthly'!A120="","",'3. Monthly'!B120)</f>
        <v/>
      </c>
      <c r="C120" s="4">
        <f>IF('3. Monthly'!A120="","",'3. Monthly'!C120)</f>
        <v/>
      </c>
      <c r="D120" s="21">
        <f>IFERROR('3. Monthly'!D120/'3. Monthly'!E120,"")</f>
        <v/>
      </c>
      <c r="E120" s="21">
        <f>IFERROR('3. Monthly'!F120/'3. Monthly'!G120,"")</f>
        <v/>
      </c>
      <c r="F120" s="21">
        <f>IFERROR('3. Monthly'!H120/'3. Monthly'!I120,"")</f>
        <v/>
      </c>
      <c r="G120" s="4">
        <f>IF('3. Monthly'!J120="","",'3. Monthly'!J120)</f>
        <v/>
      </c>
      <c r="H120" s="4">
        <f>IFERROR('3. Monthly'!K120/'3. Monthly'!L120,"")</f>
        <v/>
      </c>
      <c r="I120" s="21">
        <f>IFERROR('3. Monthly'!M120/'3. Monthly'!K120,"")</f>
        <v/>
      </c>
      <c r="J120" s="4">
        <f>IF('3. Monthly'!N120="","",'3. Monthly'!N120)</f>
        <v/>
      </c>
      <c r="K120" s="21">
        <f>IFERROR(('3. Monthly'!O120-'3. Monthly'!P120)/'3. Monthly'!O120,"")</f>
        <v/>
      </c>
      <c r="L120" s="21">
        <f>IFERROR('3. Monthly'!Q120/'3. Monthly'!G120,"")</f>
        <v/>
      </c>
      <c r="M120" s="21">
        <f>IFERROR('3. Monthly'!R120/'3. Monthly'!F120,"")</f>
        <v/>
      </c>
      <c r="N120" s="21">
        <f>IF('3. Monthly'!S120="","",'3. Monthly'!S120)</f>
        <v/>
      </c>
      <c r="O120" s="4">
        <f>IF('3. Monthly'!T120="","",'3. Monthly'!T120)</f>
        <v/>
      </c>
      <c r="P120" s="21">
        <f>IFERROR('3. Monthly'!U120/'3. Monthly'!H120,"")</f>
        <v/>
      </c>
      <c r="Q120" s="21">
        <f>IFERROR('3. Monthly'!V120/'3. Monthly'!H120,"")</f>
        <v/>
      </c>
      <c r="R120" s="21">
        <f>IFERROR('3. Monthly'!W120/'3. Monthly'!H120,"")</f>
        <v/>
      </c>
      <c r="S120" s="4">
        <f>IF('3. Monthly'!X120="","",'3. Monthly'!X120)</f>
        <v/>
      </c>
    </row>
    <row r="121">
      <c r="A121" s="4">
        <f>IF('3. Monthly'!A121="","",'3. Monthly'!A121)</f>
        <v/>
      </c>
      <c r="B121" s="20">
        <f>IF('3. Monthly'!A121="","",'3. Monthly'!B121)</f>
        <v/>
      </c>
      <c r="C121" s="4">
        <f>IF('3. Monthly'!A121="","",'3. Monthly'!C121)</f>
        <v/>
      </c>
      <c r="D121" s="21">
        <f>IFERROR('3. Monthly'!D121/'3. Monthly'!E121,"")</f>
        <v/>
      </c>
      <c r="E121" s="21">
        <f>IFERROR('3. Monthly'!F121/'3. Monthly'!G121,"")</f>
        <v/>
      </c>
      <c r="F121" s="21">
        <f>IFERROR('3. Monthly'!H121/'3. Monthly'!I121,"")</f>
        <v/>
      </c>
      <c r="G121" s="4">
        <f>IF('3. Monthly'!J121="","",'3. Monthly'!J121)</f>
        <v/>
      </c>
      <c r="H121" s="4">
        <f>IFERROR('3. Monthly'!K121/'3. Monthly'!L121,"")</f>
        <v/>
      </c>
      <c r="I121" s="21">
        <f>IFERROR('3. Monthly'!M121/'3. Monthly'!K121,"")</f>
        <v/>
      </c>
      <c r="J121" s="4">
        <f>IF('3. Monthly'!N121="","",'3. Monthly'!N121)</f>
        <v/>
      </c>
      <c r="K121" s="21">
        <f>IFERROR(('3. Monthly'!O121-'3. Monthly'!P121)/'3. Monthly'!O121,"")</f>
        <v/>
      </c>
      <c r="L121" s="21">
        <f>IFERROR('3. Monthly'!Q121/'3. Monthly'!G121,"")</f>
        <v/>
      </c>
      <c r="M121" s="21">
        <f>IFERROR('3. Monthly'!R121/'3. Monthly'!F121,"")</f>
        <v/>
      </c>
      <c r="N121" s="21">
        <f>IF('3. Monthly'!S121="","",'3. Monthly'!S121)</f>
        <v/>
      </c>
      <c r="O121" s="4">
        <f>IF('3. Monthly'!T121="","",'3. Monthly'!T121)</f>
        <v/>
      </c>
      <c r="P121" s="21">
        <f>IFERROR('3. Monthly'!U121/'3. Monthly'!H121,"")</f>
        <v/>
      </c>
      <c r="Q121" s="21">
        <f>IFERROR('3. Monthly'!V121/'3. Monthly'!H121,"")</f>
        <v/>
      </c>
      <c r="R121" s="21">
        <f>IFERROR('3. Monthly'!W121/'3. Monthly'!H121,"")</f>
        <v/>
      </c>
      <c r="S121" s="4">
        <f>IF('3. Monthly'!X121="","",'3. Monthly'!X121)</f>
        <v/>
      </c>
    </row>
    <row r="122">
      <c r="A122" s="4">
        <f>IF('3. Monthly'!A122="","",'3. Monthly'!A122)</f>
        <v/>
      </c>
      <c r="B122" s="20">
        <f>IF('3. Monthly'!A122="","",'3. Monthly'!B122)</f>
        <v/>
      </c>
      <c r="C122" s="4">
        <f>IF('3. Monthly'!A122="","",'3. Monthly'!C122)</f>
        <v/>
      </c>
      <c r="D122" s="21">
        <f>IFERROR('3. Monthly'!D122/'3. Monthly'!E122,"")</f>
        <v/>
      </c>
      <c r="E122" s="21">
        <f>IFERROR('3. Monthly'!F122/'3. Monthly'!G122,"")</f>
        <v/>
      </c>
      <c r="F122" s="21">
        <f>IFERROR('3. Monthly'!H122/'3. Monthly'!I122,"")</f>
        <v/>
      </c>
      <c r="G122" s="4">
        <f>IF('3. Monthly'!J122="","",'3. Monthly'!J122)</f>
        <v/>
      </c>
      <c r="H122" s="4">
        <f>IFERROR('3. Monthly'!K122/'3. Monthly'!L122,"")</f>
        <v/>
      </c>
      <c r="I122" s="21">
        <f>IFERROR('3. Monthly'!M122/'3. Monthly'!K122,"")</f>
        <v/>
      </c>
      <c r="J122" s="4">
        <f>IF('3. Monthly'!N122="","",'3. Monthly'!N122)</f>
        <v/>
      </c>
      <c r="K122" s="21">
        <f>IFERROR(('3. Monthly'!O122-'3. Monthly'!P122)/'3. Monthly'!O122,"")</f>
        <v/>
      </c>
      <c r="L122" s="21">
        <f>IFERROR('3. Monthly'!Q122/'3. Monthly'!G122,"")</f>
        <v/>
      </c>
      <c r="M122" s="21">
        <f>IFERROR('3. Monthly'!R122/'3. Monthly'!F122,"")</f>
        <v/>
      </c>
      <c r="N122" s="21">
        <f>IF('3. Monthly'!S122="","",'3. Monthly'!S122)</f>
        <v/>
      </c>
      <c r="O122" s="4">
        <f>IF('3. Monthly'!T122="","",'3. Monthly'!T122)</f>
        <v/>
      </c>
      <c r="P122" s="21">
        <f>IFERROR('3. Monthly'!U122/'3. Monthly'!H122,"")</f>
        <v/>
      </c>
      <c r="Q122" s="21">
        <f>IFERROR('3. Monthly'!V122/'3. Monthly'!H122,"")</f>
        <v/>
      </c>
      <c r="R122" s="21">
        <f>IFERROR('3. Monthly'!W122/'3. Monthly'!H122,"")</f>
        <v/>
      </c>
      <c r="S122" s="4">
        <f>IF('3. Monthly'!X122="","",'3. Monthly'!X122)</f>
        <v/>
      </c>
    </row>
    <row r="123">
      <c r="A123" s="4">
        <f>IF('3. Monthly'!A123="","",'3. Monthly'!A123)</f>
        <v/>
      </c>
      <c r="B123" s="20">
        <f>IF('3. Monthly'!A123="","",'3. Monthly'!B123)</f>
        <v/>
      </c>
      <c r="C123" s="4">
        <f>IF('3. Monthly'!A123="","",'3. Monthly'!C123)</f>
        <v/>
      </c>
      <c r="D123" s="21">
        <f>IFERROR('3. Monthly'!D123/'3. Monthly'!E123,"")</f>
        <v/>
      </c>
      <c r="E123" s="21">
        <f>IFERROR('3. Monthly'!F123/'3. Monthly'!G123,"")</f>
        <v/>
      </c>
      <c r="F123" s="21">
        <f>IFERROR('3. Monthly'!H123/'3. Monthly'!I123,"")</f>
        <v/>
      </c>
      <c r="G123" s="4">
        <f>IF('3. Monthly'!J123="","",'3. Monthly'!J123)</f>
        <v/>
      </c>
      <c r="H123" s="4">
        <f>IFERROR('3. Monthly'!K123/'3. Monthly'!L123,"")</f>
        <v/>
      </c>
      <c r="I123" s="21">
        <f>IFERROR('3. Monthly'!M123/'3. Monthly'!K123,"")</f>
        <v/>
      </c>
      <c r="J123" s="4">
        <f>IF('3. Monthly'!N123="","",'3. Monthly'!N123)</f>
        <v/>
      </c>
      <c r="K123" s="21">
        <f>IFERROR(('3. Monthly'!O123-'3. Monthly'!P123)/'3. Monthly'!O123,"")</f>
        <v/>
      </c>
      <c r="L123" s="21">
        <f>IFERROR('3. Monthly'!Q123/'3. Monthly'!G123,"")</f>
        <v/>
      </c>
      <c r="M123" s="21">
        <f>IFERROR('3. Monthly'!R123/'3. Monthly'!F123,"")</f>
        <v/>
      </c>
      <c r="N123" s="21">
        <f>IF('3. Monthly'!S123="","",'3. Monthly'!S123)</f>
        <v/>
      </c>
      <c r="O123" s="4">
        <f>IF('3. Monthly'!T123="","",'3. Monthly'!T123)</f>
        <v/>
      </c>
      <c r="P123" s="21">
        <f>IFERROR('3. Monthly'!U123/'3. Monthly'!H123,"")</f>
        <v/>
      </c>
      <c r="Q123" s="21">
        <f>IFERROR('3. Monthly'!V123/'3. Monthly'!H123,"")</f>
        <v/>
      </c>
      <c r="R123" s="21">
        <f>IFERROR('3. Monthly'!W123/'3. Monthly'!H123,"")</f>
        <v/>
      </c>
      <c r="S123" s="4">
        <f>IF('3. Monthly'!X123="","",'3. Monthly'!X123)</f>
        <v/>
      </c>
    </row>
    <row r="124">
      <c r="A124" s="4">
        <f>IF('3. Monthly'!A124="","",'3. Monthly'!A124)</f>
        <v/>
      </c>
      <c r="B124" s="20">
        <f>IF('3. Monthly'!A124="","",'3. Monthly'!B124)</f>
        <v/>
      </c>
      <c r="C124" s="4">
        <f>IF('3. Monthly'!A124="","",'3. Monthly'!C124)</f>
        <v/>
      </c>
      <c r="D124" s="21">
        <f>IFERROR('3. Monthly'!D124/'3. Monthly'!E124,"")</f>
        <v/>
      </c>
      <c r="E124" s="21">
        <f>IFERROR('3. Monthly'!F124/'3. Monthly'!G124,"")</f>
        <v/>
      </c>
      <c r="F124" s="21">
        <f>IFERROR('3. Monthly'!H124/'3. Monthly'!I124,"")</f>
        <v/>
      </c>
      <c r="G124" s="4">
        <f>IF('3. Monthly'!J124="","",'3. Monthly'!J124)</f>
        <v/>
      </c>
      <c r="H124" s="4">
        <f>IFERROR('3. Monthly'!K124/'3. Monthly'!L124,"")</f>
        <v/>
      </c>
      <c r="I124" s="21">
        <f>IFERROR('3. Monthly'!M124/'3. Monthly'!K124,"")</f>
        <v/>
      </c>
      <c r="J124" s="4">
        <f>IF('3. Monthly'!N124="","",'3. Monthly'!N124)</f>
        <v/>
      </c>
      <c r="K124" s="21">
        <f>IFERROR(('3. Monthly'!O124-'3. Monthly'!P124)/'3. Monthly'!O124,"")</f>
        <v/>
      </c>
      <c r="L124" s="21">
        <f>IFERROR('3. Monthly'!Q124/'3. Monthly'!G124,"")</f>
        <v/>
      </c>
      <c r="M124" s="21">
        <f>IFERROR('3. Monthly'!R124/'3. Monthly'!F124,"")</f>
        <v/>
      </c>
      <c r="N124" s="21">
        <f>IF('3. Monthly'!S124="","",'3. Monthly'!S124)</f>
        <v/>
      </c>
      <c r="O124" s="4">
        <f>IF('3. Monthly'!T124="","",'3. Monthly'!T124)</f>
        <v/>
      </c>
      <c r="P124" s="21">
        <f>IFERROR('3. Monthly'!U124/'3. Monthly'!H124,"")</f>
        <v/>
      </c>
      <c r="Q124" s="21">
        <f>IFERROR('3. Monthly'!V124/'3. Monthly'!H124,"")</f>
        <v/>
      </c>
      <c r="R124" s="21">
        <f>IFERROR('3. Monthly'!W124/'3. Monthly'!H124,"")</f>
        <v/>
      </c>
      <c r="S124" s="4">
        <f>IF('3. Monthly'!X124="","",'3. Monthly'!X124)</f>
        <v/>
      </c>
    </row>
    <row r="125">
      <c r="A125" s="4">
        <f>IF('3. Monthly'!A125="","",'3. Monthly'!A125)</f>
        <v/>
      </c>
      <c r="B125" s="20">
        <f>IF('3. Monthly'!A125="","",'3. Monthly'!B125)</f>
        <v/>
      </c>
      <c r="C125" s="4">
        <f>IF('3. Monthly'!A125="","",'3. Monthly'!C125)</f>
        <v/>
      </c>
      <c r="D125" s="21">
        <f>IFERROR('3. Monthly'!D125/'3. Monthly'!E125,"")</f>
        <v/>
      </c>
      <c r="E125" s="21">
        <f>IFERROR('3. Monthly'!F125/'3. Monthly'!G125,"")</f>
        <v/>
      </c>
      <c r="F125" s="21">
        <f>IFERROR('3. Monthly'!H125/'3. Monthly'!I125,"")</f>
        <v/>
      </c>
      <c r="G125" s="4">
        <f>IF('3. Monthly'!J125="","",'3. Monthly'!J125)</f>
        <v/>
      </c>
      <c r="H125" s="4">
        <f>IFERROR('3. Monthly'!K125/'3. Monthly'!L125,"")</f>
        <v/>
      </c>
      <c r="I125" s="21">
        <f>IFERROR('3. Monthly'!M125/'3. Monthly'!K125,"")</f>
        <v/>
      </c>
      <c r="J125" s="4">
        <f>IF('3. Monthly'!N125="","",'3. Monthly'!N125)</f>
        <v/>
      </c>
      <c r="K125" s="21">
        <f>IFERROR(('3. Monthly'!O125-'3. Monthly'!P125)/'3. Monthly'!O125,"")</f>
        <v/>
      </c>
      <c r="L125" s="21">
        <f>IFERROR('3. Monthly'!Q125/'3. Monthly'!G125,"")</f>
        <v/>
      </c>
      <c r="M125" s="21">
        <f>IFERROR('3. Monthly'!R125/'3. Monthly'!F125,"")</f>
        <v/>
      </c>
      <c r="N125" s="21">
        <f>IF('3. Monthly'!S125="","",'3. Monthly'!S125)</f>
        <v/>
      </c>
      <c r="O125" s="4">
        <f>IF('3. Monthly'!T125="","",'3. Monthly'!T125)</f>
        <v/>
      </c>
      <c r="P125" s="21">
        <f>IFERROR('3. Monthly'!U125/'3. Monthly'!H125,"")</f>
        <v/>
      </c>
      <c r="Q125" s="21">
        <f>IFERROR('3. Monthly'!V125/'3. Monthly'!H125,"")</f>
        <v/>
      </c>
      <c r="R125" s="21">
        <f>IFERROR('3. Monthly'!W125/'3. Monthly'!H125,"")</f>
        <v/>
      </c>
      <c r="S125" s="4">
        <f>IF('3. Monthly'!X125="","",'3. Monthly'!X125)</f>
        <v/>
      </c>
    </row>
    <row r="126">
      <c r="A126" s="4">
        <f>IF('3. Monthly'!A126="","",'3. Monthly'!A126)</f>
        <v/>
      </c>
      <c r="B126" s="20">
        <f>IF('3. Monthly'!A126="","",'3. Monthly'!B126)</f>
        <v/>
      </c>
      <c r="C126" s="4">
        <f>IF('3. Monthly'!A126="","",'3. Monthly'!C126)</f>
        <v/>
      </c>
      <c r="D126" s="21">
        <f>IFERROR('3. Monthly'!D126/'3. Monthly'!E126,"")</f>
        <v/>
      </c>
      <c r="E126" s="21">
        <f>IFERROR('3. Monthly'!F126/'3. Monthly'!G126,"")</f>
        <v/>
      </c>
      <c r="F126" s="21">
        <f>IFERROR('3. Monthly'!H126/'3. Monthly'!I126,"")</f>
        <v/>
      </c>
      <c r="G126" s="4">
        <f>IF('3. Monthly'!J126="","",'3. Monthly'!J126)</f>
        <v/>
      </c>
      <c r="H126" s="4">
        <f>IFERROR('3. Monthly'!K126/'3. Monthly'!L126,"")</f>
        <v/>
      </c>
      <c r="I126" s="21">
        <f>IFERROR('3. Monthly'!M126/'3. Monthly'!K126,"")</f>
        <v/>
      </c>
      <c r="J126" s="4">
        <f>IF('3. Monthly'!N126="","",'3. Monthly'!N126)</f>
        <v/>
      </c>
      <c r="K126" s="21">
        <f>IFERROR(('3. Monthly'!O126-'3. Monthly'!P126)/'3. Monthly'!O126,"")</f>
        <v/>
      </c>
      <c r="L126" s="21">
        <f>IFERROR('3. Monthly'!Q126/'3. Monthly'!G126,"")</f>
        <v/>
      </c>
      <c r="M126" s="21">
        <f>IFERROR('3. Monthly'!R126/'3. Monthly'!F126,"")</f>
        <v/>
      </c>
      <c r="N126" s="21">
        <f>IF('3. Monthly'!S126="","",'3. Monthly'!S126)</f>
        <v/>
      </c>
      <c r="O126" s="4">
        <f>IF('3. Monthly'!T126="","",'3. Monthly'!T126)</f>
        <v/>
      </c>
      <c r="P126" s="21">
        <f>IFERROR('3. Monthly'!U126/'3. Monthly'!H126,"")</f>
        <v/>
      </c>
      <c r="Q126" s="21">
        <f>IFERROR('3. Monthly'!V126/'3. Monthly'!H126,"")</f>
        <v/>
      </c>
      <c r="R126" s="21">
        <f>IFERROR('3. Monthly'!W126/'3. Monthly'!H126,"")</f>
        <v/>
      </c>
      <c r="S126" s="4">
        <f>IF('3. Monthly'!X126="","",'3. Monthly'!X126)</f>
        <v/>
      </c>
    </row>
    <row r="127">
      <c r="A127" s="4">
        <f>IF('3. Monthly'!A127="","",'3. Monthly'!A127)</f>
        <v/>
      </c>
      <c r="B127" s="20">
        <f>IF('3. Monthly'!A127="","",'3. Monthly'!B127)</f>
        <v/>
      </c>
      <c r="C127" s="4">
        <f>IF('3. Monthly'!A127="","",'3. Monthly'!C127)</f>
        <v/>
      </c>
      <c r="D127" s="21">
        <f>IFERROR('3. Monthly'!D127/'3. Monthly'!E127,"")</f>
        <v/>
      </c>
      <c r="E127" s="21">
        <f>IFERROR('3. Monthly'!F127/'3. Monthly'!G127,"")</f>
        <v/>
      </c>
      <c r="F127" s="21">
        <f>IFERROR('3. Monthly'!H127/'3. Monthly'!I127,"")</f>
        <v/>
      </c>
      <c r="G127" s="4">
        <f>IF('3. Monthly'!J127="","",'3. Monthly'!J127)</f>
        <v/>
      </c>
      <c r="H127" s="4">
        <f>IFERROR('3. Monthly'!K127/'3. Monthly'!L127,"")</f>
        <v/>
      </c>
      <c r="I127" s="21">
        <f>IFERROR('3. Monthly'!M127/'3. Monthly'!K127,"")</f>
        <v/>
      </c>
      <c r="J127" s="4">
        <f>IF('3. Monthly'!N127="","",'3. Monthly'!N127)</f>
        <v/>
      </c>
      <c r="K127" s="21">
        <f>IFERROR(('3. Monthly'!O127-'3. Monthly'!P127)/'3. Monthly'!O127,"")</f>
        <v/>
      </c>
      <c r="L127" s="21">
        <f>IFERROR('3. Monthly'!Q127/'3. Monthly'!G127,"")</f>
        <v/>
      </c>
      <c r="M127" s="21">
        <f>IFERROR('3. Monthly'!R127/'3. Monthly'!F127,"")</f>
        <v/>
      </c>
      <c r="N127" s="21">
        <f>IF('3. Monthly'!S127="","",'3. Monthly'!S127)</f>
        <v/>
      </c>
      <c r="O127" s="4">
        <f>IF('3. Monthly'!T127="","",'3. Monthly'!T127)</f>
        <v/>
      </c>
      <c r="P127" s="21">
        <f>IFERROR('3. Monthly'!U127/'3. Monthly'!H127,"")</f>
        <v/>
      </c>
      <c r="Q127" s="21">
        <f>IFERROR('3. Monthly'!V127/'3. Monthly'!H127,"")</f>
        <v/>
      </c>
      <c r="R127" s="21">
        <f>IFERROR('3. Monthly'!W127/'3. Monthly'!H127,"")</f>
        <v/>
      </c>
      <c r="S127" s="4">
        <f>IF('3. Monthly'!X127="","",'3. Monthly'!X127)</f>
        <v/>
      </c>
    </row>
    <row r="128">
      <c r="A128" s="4">
        <f>IF('3. Monthly'!A128="","",'3. Monthly'!A128)</f>
        <v/>
      </c>
      <c r="B128" s="20">
        <f>IF('3. Monthly'!A128="","",'3. Monthly'!B128)</f>
        <v/>
      </c>
      <c r="C128" s="4">
        <f>IF('3. Monthly'!A128="","",'3. Monthly'!C128)</f>
        <v/>
      </c>
      <c r="D128" s="21">
        <f>IFERROR('3. Monthly'!D128/'3. Monthly'!E128,"")</f>
        <v/>
      </c>
      <c r="E128" s="21">
        <f>IFERROR('3. Monthly'!F128/'3. Monthly'!G128,"")</f>
        <v/>
      </c>
      <c r="F128" s="21">
        <f>IFERROR('3. Monthly'!H128/'3. Monthly'!I128,"")</f>
        <v/>
      </c>
      <c r="G128" s="4">
        <f>IF('3. Monthly'!J128="","",'3. Monthly'!J128)</f>
        <v/>
      </c>
      <c r="H128" s="4">
        <f>IFERROR('3. Monthly'!K128/'3. Monthly'!L128,"")</f>
        <v/>
      </c>
      <c r="I128" s="21">
        <f>IFERROR('3. Monthly'!M128/'3. Monthly'!K128,"")</f>
        <v/>
      </c>
      <c r="J128" s="4">
        <f>IF('3. Monthly'!N128="","",'3. Monthly'!N128)</f>
        <v/>
      </c>
      <c r="K128" s="21">
        <f>IFERROR(('3. Monthly'!O128-'3. Monthly'!P128)/'3. Monthly'!O128,"")</f>
        <v/>
      </c>
      <c r="L128" s="21">
        <f>IFERROR('3. Monthly'!Q128/'3. Monthly'!G128,"")</f>
        <v/>
      </c>
      <c r="M128" s="21">
        <f>IFERROR('3. Monthly'!R128/'3. Monthly'!F128,"")</f>
        <v/>
      </c>
      <c r="N128" s="21">
        <f>IF('3. Monthly'!S128="","",'3. Monthly'!S128)</f>
        <v/>
      </c>
      <c r="O128" s="4">
        <f>IF('3. Monthly'!T128="","",'3. Monthly'!T128)</f>
        <v/>
      </c>
      <c r="P128" s="21">
        <f>IFERROR('3. Monthly'!U128/'3. Monthly'!H128,"")</f>
        <v/>
      </c>
      <c r="Q128" s="21">
        <f>IFERROR('3. Monthly'!V128/'3. Monthly'!H128,"")</f>
        <v/>
      </c>
      <c r="R128" s="21">
        <f>IFERROR('3. Monthly'!W128/'3. Monthly'!H128,"")</f>
        <v/>
      </c>
      <c r="S128" s="4">
        <f>IF('3. Monthly'!X128="","",'3. Monthly'!X128)</f>
        <v/>
      </c>
    </row>
    <row r="129">
      <c r="A129" s="4">
        <f>IF('3. Monthly'!A129="","",'3. Monthly'!A129)</f>
        <v/>
      </c>
      <c r="B129" s="20">
        <f>IF('3. Monthly'!A129="","",'3. Monthly'!B129)</f>
        <v/>
      </c>
      <c r="C129" s="4">
        <f>IF('3. Monthly'!A129="","",'3. Monthly'!C129)</f>
        <v/>
      </c>
      <c r="D129" s="21">
        <f>IFERROR('3. Monthly'!D129/'3. Monthly'!E129,"")</f>
        <v/>
      </c>
      <c r="E129" s="21">
        <f>IFERROR('3. Monthly'!F129/'3. Monthly'!G129,"")</f>
        <v/>
      </c>
      <c r="F129" s="21">
        <f>IFERROR('3. Monthly'!H129/'3. Monthly'!I129,"")</f>
        <v/>
      </c>
      <c r="G129" s="4">
        <f>IF('3. Monthly'!J129="","",'3. Monthly'!J129)</f>
        <v/>
      </c>
      <c r="H129" s="4">
        <f>IFERROR('3. Monthly'!K129/'3. Monthly'!L129,"")</f>
        <v/>
      </c>
      <c r="I129" s="21">
        <f>IFERROR('3. Monthly'!M129/'3. Monthly'!K129,"")</f>
        <v/>
      </c>
      <c r="J129" s="4">
        <f>IF('3. Monthly'!N129="","",'3. Monthly'!N129)</f>
        <v/>
      </c>
      <c r="K129" s="21">
        <f>IFERROR(('3. Monthly'!O129-'3. Monthly'!P129)/'3. Monthly'!O129,"")</f>
        <v/>
      </c>
      <c r="L129" s="21">
        <f>IFERROR('3. Monthly'!Q129/'3. Monthly'!G129,"")</f>
        <v/>
      </c>
      <c r="M129" s="21">
        <f>IFERROR('3. Monthly'!R129/'3. Monthly'!F129,"")</f>
        <v/>
      </c>
      <c r="N129" s="21">
        <f>IF('3. Monthly'!S129="","",'3. Monthly'!S129)</f>
        <v/>
      </c>
      <c r="O129" s="4">
        <f>IF('3. Monthly'!T129="","",'3. Monthly'!T129)</f>
        <v/>
      </c>
      <c r="P129" s="21">
        <f>IFERROR('3. Monthly'!U129/'3. Monthly'!H129,"")</f>
        <v/>
      </c>
      <c r="Q129" s="21">
        <f>IFERROR('3. Monthly'!V129/'3. Monthly'!H129,"")</f>
        <v/>
      </c>
      <c r="R129" s="21">
        <f>IFERROR('3. Monthly'!W129/'3. Monthly'!H129,"")</f>
        <v/>
      </c>
      <c r="S129" s="4">
        <f>IF('3. Monthly'!X129="","",'3. Monthly'!X129)</f>
        <v/>
      </c>
    </row>
    <row r="130">
      <c r="A130" s="4">
        <f>IF('3. Monthly'!A130="","",'3. Monthly'!A130)</f>
        <v/>
      </c>
      <c r="B130" s="20">
        <f>IF('3. Monthly'!A130="","",'3. Monthly'!B130)</f>
        <v/>
      </c>
      <c r="C130" s="4">
        <f>IF('3. Monthly'!A130="","",'3. Monthly'!C130)</f>
        <v/>
      </c>
      <c r="D130" s="21">
        <f>IFERROR('3. Monthly'!D130/'3. Monthly'!E130,"")</f>
        <v/>
      </c>
      <c r="E130" s="21">
        <f>IFERROR('3. Monthly'!F130/'3. Monthly'!G130,"")</f>
        <v/>
      </c>
      <c r="F130" s="21">
        <f>IFERROR('3. Monthly'!H130/'3. Monthly'!I130,"")</f>
        <v/>
      </c>
      <c r="G130" s="4">
        <f>IF('3. Monthly'!J130="","",'3. Monthly'!J130)</f>
        <v/>
      </c>
      <c r="H130" s="4">
        <f>IFERROR('3. Monthly'!K130/'3. Monthly'!L130,"")</f>
        <v/>
      </c>
      <c r="I130" s="21">
        <f>IFERROR('3. Monthly'!M130/'3. Monthly'!K130,"")</f>
        <v/>
      </c>
      <c r="J130" s="4">
        <f>IF('3. Monthly'!N130="","",'3. Monthly'!N130)</f>
        <v/>
      </c>
      <c r="K130" s="21">
        <f>IFERROR(('3. Monthly'!O130-'3. Monthly'!P130)/'3. Monthly'!O130,"")</f>
        <v/>
      </c>
      <c r="L130" s="21">
        <f>IFERROR('3. Monthly'!Q130/'3. Monthly'!G130,"")</f>
        <v/>
      </c>
      <c r="M130" s="21">
        <f>IFERROR('3. Monthly'!R130/'3. Monthly'!F130,"")</f>
        <v/>
      </c>
      <c r="N130" s="21">
        <f>IF('3. Monthly'!S130="","",'3. Monthly'!S130)</f>
        <v/>
      </c>
      <c r="O130" s="4">
        <f>IF('3. Monthly'!T130="","",'3. Monthly'!T130)</f>
        <v/>
      </c>
      <c r="P130" s="21">
        <f>IFERROR('3. Monthly'!U130/'3. Monthly'!H130,"")</f>
        <v/>
      </c>
      <c r="Q130" s="21">
        <f>IFERROR('3. Monthly'!V130/'3. Monthly'!H130,"")</f>
        <v/>
      </c>
      <c r="R130" s="21">
        <f>IFERROR('3. Monthly'!W130/'3. Monthly'!H130,"")</f>
        <v/>
      </c>
      <c r="S130" s="4">
        <f>IF('3. Monthly'!X130="","",'3. Monthly'!X130)</f>
        <v/>
      </c>
    </row>
    <row r="131">
      <c r="A131" s="4">
        <f>IF('3. Monthly'!A131="","",'3. Monthly'!A131)</f>
        <v/>
      </c>
      <c r="B131" s="20">
        <f>IF('3. Monthly'!A131="","",'3. Monthly'!B131)</f>
        <v/>
      </c>
      <c r="C131" s="4">
        <f>IF('3. Monthly'!A131="","",'3. Monthly'!C131)</f>
        <v/>
      </c>
      <c r="D131" s="21">
        <f>IFERROR('3. Monthly'!D131/'3. Monthly'!E131,"")</f>
        <v/>
      </c>
      <c r="E131" s="21">
        <f>IFERROR('3. Monthly'!F131/'3. Monthly'!G131,"")</f>
        <v/>
      </c>
      <c r="F131" s="21">
        <f>IFERROR('3. Monthly'!H131/'3. Monthly'!I131,"")</f>
        <v/>
      </c>
      <c r="G131" s="4">
        <f>IF('3. Monthly'!J131="","",'3. Monthly'!J131)</f>
        <v/>
      </c>
      <c r="H131" s="4">
        <f>IFERROR('3. Monthly'!K131/'3. Monthly'!L131,"")</f>
        <v/>
      </c>
      <c r="I131" s="21">
        <f>IFERROR('3. Monthly'!M131/'3. Monthly'!K131,"")</f>
        <v/>
      </c>
      <c r="J131" s="4">
        <f>IF('3. Monthly'!N131="","",'3. Monthly'!N131)</f>
        <v/>
      </c>
      <c r="K131" s="21">
        <f>IFERROR(('3. Monthly'!O131-'3. Monthly'!P131)/'3. Monthly'!O131,"")</f>
        <v/>
      </c>
      <c r="L131" s="21">
        <f>IFERROR('3. Monthly'!Q131/'3. Monthly'!G131,"")</f>
        <v/>
      </c>
      <c r="M131" s="21">
        <f>IFERROR('3. Monthly'!R131/'3. Monthly'!F131,"")</f>
        <v/>
      </c>
      <c r="N131" s="21">
        <f>IF('3. Monthly'!S131="","",'3. Monthly'!S131)</f>
        <v/>
      </c>
      <c r="O131" s="4">
        <f>IF('3. Monthly'!T131="","",'3. Monthly'!T131)</f>
        <v/>
      </c>
      <c r="P131" s="21">
        <f>IFERROR('3. Monthly'!U131/'3. Monthly'!H131,"")</f>
        <v/>
      </c>
      <c r="Q131" s="21">
        <f>IFERROR('3. Monthly'!V131/'3. Monthly'!H131,"")</f>
        <v/>
      </c>
      <c r="R131" s="21">
        <f>IFERROR('3. Monthly'!W131/'3. Monthly'!H131,"")</f>
        <v/>
      </c>
      <c r="S131" s="4">
        <f>IF('3. Monthly'!X131="","",'3. Monthly'!X131)</f>
        <v/>
      </c>
    </row>
    <row r="132">
      <c r="A132" s="4">
        <f>IF('3. Monthly'!A132="","",'3. Monthly'!A132)</f>
        <v/>
      </c>
      <c r="B132" s="20">
        <f>IF('3. Monthly'!A132="","",'3. Monthly'!B132)</f>
        <v/>
      </c>
      <c r="C132" s="4">
        <f>IF('3. Monthly'!A132="","",'3. Monthly'!C132)</f>
        <v/>
      </c>
      <c r="D132" s="21">
        <f>IFERROR('3. Monthly'!D132/'3. Monthly'!E132,"")</f>
        <v/>
      </c>
      <c r="E132" s="21">
        <f>IFERROR('3. Monthly'!F132/'3. Monthly'!G132,"")</f>
        <v/>
      </c>
      <c r="F132" s="21">
        <f>IFERROR('3. Monthly'!H132/'3. Monthly'!I132,"")</f>
        <v/>
      </c>
      <c r="G132" s="4">
        <f>IF('3. Monthly'!J132="","",'3. Monthly'!J132)</f>
        <v/>
      </c>
      <c r="H132" s="4">
        <f>IFERROR('3. Monthly'!K132/'3. Monthly'!L132,"")</f>
        <v/>
      </c>
      <c r="I132" s="21">
        <f>IFERROR('3. Monthly'!M132/'3. Monthly'!K132,"")</f>
        <v/>
      </c>
      <c r="J132" s="4">
        <f>IF('3. Monthly'!N132="","",'3. Monthly'!N132)</f>
        <v/>
      </c>
      <c r="K132" s="21">
        <f>IFERROR(('3. Monthly'!O132-'3. Monthly'!P132)/'3. Monthly'!O132,"")</f>
        <v/>
      </c>
      <c r="L132" s="21">
        <f>IFERROR('3. Monthly'!Q132/'3. Monthly'!G132,"")</f>
        <v/>
      </c>
      <c r="M132" s="21">
        <f>IFERROR('3. Monthly'!R132/'3. Monthly'!F132,"")</f>
        <v/>
      </c>
      <c r="N132" s="21">
        <f>IF('3. Monthly'!S132="","",'3. Monthly'!S132)</f>
        <v/>
      </c>
      <c r="O132" s="4">
        <f>IF('3. Monthly'!T132="","",'3. Monthly'!T132)</f>
        <v/>
      </c>
      <c r="P132" s="21">
        <f>IFERROR('3. Monthly'!U132/'3. Monthly'!H132,"")</f>
        <v/>
      </c>
      <c r="Q132" s="21">
        <f>IFERROR('3. Monthly'!V132/'3. Monthly'!H132,"")</f>
        <v/>
      </c>
      <c r="R132" s="21">
        <f>IFERROR('3. Monthly'!W132/'3. Monthly'!H132,"")</f>
        <v/>
      </c>
      <c r="S132" s="4">
        <f>IF('3. Monthly'!X132="","",'3. Monthly'!X132)</f>
        <v/>
      </c>
    </row>
    <row r="133">
      <c r="A133" s="4">
        <f>IF('3. Monthly'!A133="","",'3. Monthly'!A133)</f>
        <v/>
      </c>
      <c r="B133" s="20">
        <f>IF('3. Monthly'!A133="","",'3. Monthly'!B133)</f>
        <v/>
      </c>
      <c r="C133" s="4">
        <f>IF('3. Monthly'!A133="","",'3. Monthly'!C133)</f>
        <v/>
      </c>
      <c r="D133" s="21">
        <f>IFERROR('3. Monthly'!D133/'3. Monthly'!E133,"")</f>
        <v/>
      </c>
      <c r="E133" s="21">
        <f>IFERROR('3. Monthly'!F133/'3. Monthly'!G133,"")</f>
        <v/>
      </c>
      <c r="F133" s="21">
        <f>IFERROR('3. Monthly'!H133/'3. Monthly'!I133,"")</f>
        <v/>
      </c>
      <c r="G133" s="4">
        <f>IF('3. Monthly'!J133="","",'3. Monthly'!J133)</f>
        <v/>
      </c>
      <c r="H133" s="4">
        <f>IFERROR('3. Monthly'!K133/'3. Monthly'!L133,"")</f>
        <v/>
      </c>
      <c r="I133" s="21">
        <f>IFERROR('3. Monthly'!M133/'3. Monthly'!K133,"")</f>
        <v/>
      </c>
      <c r="J133" s="4">
        <f>IF('3. Monthly'!N133="","",'3. Monthly'!N133)</f>
        <v/>
      </c>
      <c r="K133" s="21">
        <f>IFERROR(('3. Monthly'!O133-'3. Monthly'!P133)/'3. Monthly'!O133,"")</f>
        <v/>
      </c>
      <c r="L133" s="21">
        <f>IFERROR('3. Monthly'!Q133/'3. Monthly'!G133,"")</f>
        <v/>
      </c>
      <c r="M133" s="21">
        <f>IFERROR('3. Monthly'!R133/'3. Monthly'!F133,"")</f>
        <v/>
      </c>
      <c r="N133" s="21">
        <f>IF('3. Monthly'!S133="","",'3. Monthly'!S133)</f>
        <v/>
      </c>
      <c r="O133" s="4">
        <f>IF('3. Monthly'!T133="","",'3. Monthly'!T133)</f>
        <v/>
      </c>
      <c r="P133" s="21">
        <f>IFERROR('3. Monthly'!U133/'3. Monthly'!H133,"")</f>
        <v/>
      </c>
      <c r="Q133" s="21">
        <f>IFERROR('3. Monthly'!V133/'3. Monthly'!H133,"")</f>
        <v/>
      </c>
      <c r="R133" s="21">
        <f>IFERROR('3. Monthly'!W133/'3. Monthly'!H133,"")</f>
        <v/>
      </c>
      <c r="S133" s="4">
        <f>IF('3. Monthly'!X133="","",'3. Monthly'!X133)</f>
        <v/>
      </c>
    </row>
    <row r="134">
      <c r="A134" s="4">
        <f>IF('3. Monthly'!A134="","",'3. Monthly'!A134)</f>
        <v/>
      </c>
      <c r="B134" s="20">
        <f>IF('3. Monthly'!A134="","",'3. Monthly'!B134)</f>
        <v/>
      </c>
      <c r="C134" s="4">
        <f>IF('3. Monthly'!A134="","",'3. Monthly'!C134)</f>
        <v/>
      </c>
      <c r="D134" s="21">
        <f>IFERROR('3. Monthly'!D134/'3. Monthly'!E134,"")</f>
        <v/>
      </c>
      <c r="E134" s="21">
        <f>IFERROR('3. Monthly'!F134/'3. Monthly'!G134,"")</f>
        <v/>
      </c>
      <c r="F134" s="21">
        <f>IFERROR('3. Monthly'!H134/'3. Monthly'!I134,"")</f>
        <v/>
      </c>
      <c r="G134" s="4">
        <f>IF('3. Monthly'!J134="","",'3. Monthly'!J134)</f>
        <v/>
      </c>
      <c r="H134" s="4">
        <f>IFERROR('3. Monthly'!K134/'3. Monthly'!L134,"")</f>
        <v/>
      </c>
      <c r="I134" s="21">
        <f>IFERROR('3. Monthly'!M134/'3. Monthly'!K134,"")</f>
        <v/>
      </c>
      <c r="J134" s="4">
        <f>IF('3. Monthly'!N134="","",'3. Monthly'!N134)</f>
        <v/>
      </c>
      <c r="K134" s="21">
        <f>IFERROR(('3. Monthly'!O134-'3. Monthly'!P134)/'3. Monthly'!O134,"")</f>
        <v/>
      </c>
      <c r="L134" s="21">
        <f>IFERROR('3. Monthly'!Q134/'3. Monthly'!G134,"")</f>
        <v/>
      </c>
      <c r="M134" s="21">
        <f>IFERROR('3. Monthly'!R134/'3. Monthly'!F134,"")</f>
        <v/>
      </c>
      <c r="N134" s="21">
        <f>IF('3. Monthly'!S134="","",'3. Monthly'!S134)</f>
        <v/>
      </c>
      <c r="O134" s="4">
        <f>IF('3. Monthly'!T134="","",'3. Monthly'!T134)</f>
        <v/>
      </c>
      <c r="P134" s="21">
        <f>IFERROR('3. Monthly'!U134/'3. Monthly'!H134,"")</f>
        <v/>
      </c>
      <c r="Q134" s="21">
        <f>IFERROR('3. Monthly'!V134/'3. Monthly'!H134,"")</f>
        <v/>
      </c>
      <c r="R134" s="21">
        <f>IFERROR('3. Monthly'!W134/'3. Monthly'!H134,"")</f>
        <v/>
      </c>
      <c r="S134" s="4">
        <f>IF('3. Monthly'!X134="","",'3. Monthly'!X134)</f>
        <v/>
      </c>
    </row>
    <row r="135">
      <c r="A135" s="4">
        <f>IF('3. Monthly'!A135="","",'3. Monthly'!A135)</f>
        <v/>
      </c>
      <c r="B135" s="20">
        <f>IF('3. Monthly'!A135="","",'3. Monthly'!B135)</f>
        <v/>
      </c>
      <c r="C135" s="4">
        <f>IF('3. Monthly'!A135="","",'3. Monthly'!C135)</f>
        <v/>
      </c>
      <c r="D135" s="21">
        <f>IFERROR('3. Monthly'!D135/'3. Monthly'!E135,"")</f>
        <v/>
      </c>
      <c r="E135" s="21">
        <f>IFERROR('3. Monthly'!F135/'3. Monthly'!G135,"")</f>
        <v/>
      </c>
      <c r="F135" s="21">
        <f>IFERROR('3. Monthly'!H135/'3. Monthly'!I135,"")</f>
        <v/>
      </c>
      <c r="G135" s="4">
        <f>IF('3. Monthly'!J135="","",'3. Monthly'!J135)</f>
        <v/>
      </c>
      <c r="H135" s="4">
        <f>IFERROR('3. Monthly'!K135/'3. Monthly'!L135,"")</f>
        <v/>
      </c>
      <c r="I135" s="21">
        <f>IFERROR('3. Monthly'!M135/'3. Monthly'!K135,"")</f>
        <v/>
      </c>
      <c r="J135" s="4">
        <f>IF('3. Monthly'!N135="","",'3. Monthly'!N135)</f>
        <v/>
      </c>
      <c r="K135" s="21">
        <f>IFERROR(('3. Monthly'!O135-'3. Monthly'!P135)/'3. Monthly'!O135,"")</f>
        <v/>
      </c>
      <c r="L135" s="21">
        <f>IFERROR('3. Monthly'!Q135/'3. Monthly'!G135,"")</f>
        <v/>
      </c>
      <c r="M135" s="21">
        <f>IFERROR('3. Monthly'!R135/'3. Monthly'!F135,"")</f>
        <v/>
      </c>
      <c r="N135" s="21">
        <f>IF('3. Monthly'!S135="","",'3. Monthly'!S135)</f>
        <v/>
      </c>
      <c r="O135" s="4">
        <f>IF('3. Monthly'!T135="","",'3. Monthly'!T135)</f>
        <v/>
      </c>
      <c r="P135" s="21">
        <f>IFERROR('3. Monthly'!U135/'3. Monthly'!H135,"")</f>
        <v/>
      </c>
      <c r="Q135" s="21">
        <f>IFERROR('3. Monthly'!V135/'3. Monthly'!H135,"")</f>
        <v/>
      </c>
      <c r="R135" s="21">
        <f>IFERROR('3. Monthly'!W135/'3. Monthly'!H135,"")</f>
        <v/>
      </c>
      <c r="S135" s="4">
        <f>IF('3. Monthly'!X135="","",'3. Monthly'!X135)</f>
        <v/>
      </c>
    </row>
    <row r="136">
      <c r="A136" s="4">
        <f>IF('3. Monthly'!A136="","",'3. Monthly'!A136)</f>
        <v/>
      </c>
      <c r="B136" s="20">
        <f>IF('3. Monthly'!A136="","",'3. Monthly'!B136)</f>
        <v/>
      </c>
      <c r="C136" s="4">
        <f>IF('3. Monthly'!A136="","",'3. Monthly'!C136)</f>
        <v/>
      </c>
      <c r="D136" s="21">
        <f>IFERROR('3. Monthly'!D136/'3. Monthly'!E136,"")</f>
        <v/>
      </c>
      <c r="E136" s="21">
        <f>IFERROR('3. Monthly'!F136/'3. Monthly'!G136,"")</f>
        <v/>
      </c>
      <c r="F136" s="21">
        <f>IFERROR('3. Monthly'!H136/'3. Monthly'!I136,"")</f>
        <v/>
      </c>
      <c r="G136" s="4">
        <f>IF('3. Monthly'!J136="","",'3. Monthly'!J136)</f>
        <v/>
      </c>
      <c r="H136" s="4">
        <f>IFERROR('3. Monthly'!K136/'3. Monthly'!L136,"")</f>
        <v/>
      </c>
      <c r="I136" s="21">
        <f>IFERROR('3. Monthly'!M136/'3. Monthly'!K136,"")</f>
        <v/>
      </c>
      <c r="J136" s="4">
        <f>IF('3. Monthly'!N136="","",'3. Monthly'!N136)</f>
        <v/>
      </c>
      <c r="K136" s="21">
        <f>IFERROR(('3. Monthly'!O136-'3. Monthly'!P136)/'3. Monthly'!O136,"")</f>
        <v/>
      </c>
      <c r="L136" s="21">
        <f>IFERROR('3. Monthly'!Q136/'3. Monthly'!G136,"")</f>
        <v/>
      </c>
      <c r="M136" s="21">
        <f>IFERROR('3. Monthly'!R136/'3. Monthly'!F136,"")</f>
        <v/>
      </c>
      <c r="N136" s="21">
        <f>IF('3. Monthly'!S136="","",'3. Monthly'!S136)</f>
        <v/>
      </c>
      <c r="O136" s="4">
        <f>IF('3. Monthly'!T136="","",'3. Monthly'!T136)</f>
        <v/>
      </c>
      <c r="P136" s="21">
        <f>IFERROR('3. Monthly'!U136/'3. Monthly'!H136,"")</f>
        <v/>
      </c>
      <c r="Q136" s="21">
        <f>IFERROR('3. Monthly'!V136/'3. Monthly'!H136,"")</f>
        <v/>
      </c>
      <c r="R136" s="21">
        <f>IFERROR('3. Monthly'!W136/'3. Monthly'!H136,"")</f>
        <v/>
      </c>
      <c r="S136" s="4">
        <f>IF('3. Monthly'!X136="","",'3. Monthly'!X136)</f>
        <v/>
      </c>
    </row>
    <row r="137">
      <c r="A137" s="4">
        <f>IF('3. Monthly'!A137="","",'3. Monthly'!A137)</f>
        <v/>
      </c>
      <c r="B137" s="20">
        <f>IF('3. Monthly'!A137="","",'3. Monthly'!B137)</f>
        <v/>
      </c>
      <c r="C137" s="4">
        <f>IF('3. Monthly'!A137="","",'3. Monthly'!C137)</f>
        <v/>
      </c>
      <c r="D137" s="21">
        <f>IFERROR('3. Monthly'!D137/'3. Monthly'!E137,"")</f>
        <v/>
      </c>
      <c r="E137" s="21">
        <f>IFERROR('3. Monthly'!F137/'3. Monthly'!G137,"")</f>
        <v/>
      </c>
      <c r="F137" s="21">
        <f>IFERROR('3. Monthly'!H137/'3. Monthly'!I137,"")</f>
        <v/>
      </c>
      <c r="G137" s="4">
        <f>IF('3. Monthly'!J137="","",'3. Monthly'!J137)</f>
        <v/>
      </c>
      <c r="H137" s="4">
        <f>IFERROR('3. Monthly'!K137/'3. Monthly'!L137,"")</f>
        <v/>
      </c>
      <c r="I137" s="21">
        <f>IFERROR('3. Monthly'!M137/'3. Monthly'!K137,"")</f>
        <v/>
      </c>
      <c r="J137" s="4">
        <f>IF('3. Monthly'!N137="","",'3. Monthly'!N137)</f>
        <v/>
      </c>
      <c r="K137" s="21">
        <f>IFERROR(('3. Monthly'!O137-'3. Monthly'!P137)/'3. Monthly'!O137,"")</f>
        <v/>
      </c>
      <c r="L137" s="21">
        <f>IFERROR('3. Monthly'!Q137/'3. Monthly'!G137,"")</f>
        <v/>
      </c>
      <c r="M137" s="21">
        <f>IFERROR('3. Monthly'!R137/'3. Monthly'!F137,"")</f>
        <v/>
      </c>
      <c r="N137" s="21">
        <f>IF('3. Monthly'!S137="","",'3. Monthly'!S137)</f>
        <v/>
      </c>
      <c r="O137" s="4">
        <f>IF('3. Monthly'!T137="","",'3. Monthly'!T137)</f>
        <v/>
      </c>
      <c r="P137" s="21">
        <f>IFERROR('3. Monthly'!U137/'3. Monthly'!H137,"")</f>
        <v/>
      </c>
      <c r="Q137" s="21">
        <f>IFERROR('3. Monthly'!V137/'3. Monthly'!H137,"")</f>
        <v/>
      </c>
      <c r="R137" s="21">
        <f>IFERROR('3. Monthly'!W137/'3. Monthly'!H137,"")</f>
        <v/>
      </c>
      <c r="S137" s="4">
        <f>IF('3. Monthly'!X137="","",'3. Monthly'!X137)</f>
        <v/>
      </c>
    </row>
    <row r="138">
      <c r="A138" s="4">
        <f>IF('3. Monthly'!A138="","",'3. Monthly'!A138)</f>
        <v/>
      </c>
      <c r="B138" s="20">
        <f>IF('3. Monthly'!A138="","",'3. Monthly'!B138)</f>
        <v/>
      </c>
      <c r="C138" s="4">
        <f>IF('3. Monthly'!A138="","",'3. Monthly'!C138)</f>
        <v/>
      </c>
      <c r="D138" s="21">
        <f>IFERROR('3. Monthly'!D138/'3. Monthly'!E138,"")</f>
        <v/>
      </c>
      <c r="E138" s="21">
        <f>IFERROR('3. Monthly'!F138/'3. Monthly'!G138,"")</f>
        <v/>
      </c>
      <c r="F138" s="21">
        <f>IFERROR('3. Monthly'!H138/'3. Monthly'!I138,"")</f>
        <v/>
      </c>
      <c r="G138" s="4">
        <f>IF('3. Monthly'!J138="","",'3. Monthly'!J138)</f>
        <v/>
      </c>
      <c r="H138" s="4">
        <f>IFERROR('3. Monthly'!K138/'3. Monthly'!L138,"")</f>
        <v/>
      </c>
      <c r="I138" s="21">
        <f>IFERROR('3. Monthly'!M138/'3. Monthly'!K138,"")</f>
        <v/>
      </c>
      <c r="J138" s="4">
        <f>IF('3. Monthly'!N138="","",'3. Monthly'!N138)</f>
        <v/>
      </c>
      <c r="K138" s="21">
        <f>IFERROR(('3. Monthly'!O138-'3. Monthly'!P138)/'3. Monthly'!O138,"")</f>
        <v/>
      </c>
      <c r="L138" s="21">
        <f>IFERROR('3. Monthly'!Q138/'3. Monthly'!G138,"")</f>
        <v/>
      </c>
      <c r="M138" s="21">
        <f>IFERROR('3. Monthly'!R138/'3. Monthly'!F138,"")</f>
        <v/>
      </c>
      <c r="N138" s="21">
        <f>IF('3. Monthly'!S138="","",'3. Monthly'!S138)</f>
        <v/>
      </c>
      <c r="O138" s="4">
        <f>IF('3. Monthly'!T138="","",'3. Monthly'!T138)</f>
        <v/>
      </c>
      <c r="P138" s="21">
        <f>IFERROR('3. Monthly'!U138/'3. Monthly'!H138,"")</f>
        <v/>
      </c>
      <c r="Q138" s="21">
        <f>IFERROR('3. Monthly'!V138/'3. Monthly'!H138,"")</f>
        <v/>
      </c>
      <c r="R138" s="21">
        <f>IFERROR('3. Monthly'!W138/'3. Monthly'!H138,"")</f>
        <v/>
      </c>
      <c r="S138" s="4">
        <f>IF('3. Monthly'!X138="","",'3. Monthly'!X138)</f>
        <v/>
      </c>
    </row>
    <row r="139">
      <c r="A139" s="4">
        <f>IF('3. Monthly'!A139="","",'3. Monthly'!A139)</f>
        <v/>
      </c>
      <c r="B139" s="20">
        <f>IF('3. Monthly'!A139="","",'3. Monthly'!B139)</f>
        <v/>
      </c>
      <c r="C139" s="4">
        <f>IF('3. Monthly'!A139="","",'3. Monthly'!C139)</f>
        <v/>
      </c>
      <c r="D139" s="21">
        <f>IFERROR('3. Monthly'!D139/'3. Monthly'!E139,"")</f>
        <v/>
      </c>
      <c r="E139" s="21">
        <f>IFERROR('3. Monthly'!F139/'3. Monthly'!G139,"")</f>
        <v/>
      </c>
      <c r="F139" s="21">
        <f>IFERROR('3. Monthly'!H139/'3. Monthly'!I139,"")</f>
        <v/>
      </c>
      <c r="G139" s="4">
        <f>IF('3. Monthly'!J139="","",'3. Monthly'!J139)</f>
        <v/>
      </c>
      <c r="H139" s="4">
        <f>IFERROR('3. Monthly'!K139/'3. Monthly'!L139,"")</f>
        <v/>
      </c>
      <c r="I139" s="21">
        <f>IFERROR('3. Monthly'!M139/'3. Monthly'!K139,"")</f>
        <v/>
      </c>
      <c r="J139" s="4">
        <f>IF('3. Monthly'!N139="","",'3. Monthly'!N139)</f>
        <v/>
      </c>
      <c r="K139" s="21">
        <f>IFERROR(('3. Monthly'!O139-'3. Monthly'!P139)/'3. Monthly'!O139,"")</f>
        <v/>
      </c>
      <c r="L139" s="21">
        <f>IFERROR('3. Monthly'!Q139/'3. Monthly'!G139,"")</f>
        <v/>
      </c>
      <c r="M139" s="21">
        <f>IFERROR('3. Monthly'!R139/'3. Monthly'!F139,"")</f>
        <v/>
      </c>
      <c r="N139" s="21">
        <f>IF('3. Monthly'!S139="","",'3. Monthly'!S139)</f>
        <v/>
      </c>
      <c r="O139" s="4">
        <f>IF('3. Monthly'!T139="","",'3. Monthly'!T139)</f>
        <v/>
      </c>
      <c r="P139" s="21">
        <f>IFERROR('3. Monthly'!U139/'3. Monthly'!H139,"")</f>
        <v/>
      </c>
      <c r="Q139" s="21">
        <f>IFERROR('3. Monthly'!V139/'3. Monthly'!H139,"")</f>
        <v/>
      </c>
      <c r="R139" s="21">
        <f>IFERROR('3. Monthly'!W139/'3. Monthly'!H139,"")</f>
        <v/>
      </c>
      <c r="S139" s="4">
        <f>IF('3. Monthly'!X139="","",'3. Monthly'!X139)</f>
        <v/>
      </c>
    </row>
    <row r="140">
      <c r="A140" s="4">
        <f>IF('3. Monthly'!A140="","",'3. Monthly'!A140)</f>
        <v/>
      </c>
      <c r="B140" s="20">
        <f>IF('3. Monthly'!A140="","",'3. Monthly'!B140)</f>
        <v/>
      </c>
      <c r="C140" s="4">
        <f>IF('3. Monthly'!A140="","",'3. Monthly'!C140)</f>
        <v/>
      </c>
      <c r="D140" s="21">
        <f>IFERROR('3. Monthly'!D140/'3. Monthly'!E140,"")</f>
        <v/>
      </c>
      <c r="E140" s="21">
        <f>IFERROR('3. Monthly'!F140/'3. Monthly'!G140,"")</f>
        <v/>
      </c>
      <c r="F140" s="21">
        <f>IFERROR('3. Monthly'!H140/'3. Monthly'!I140,"")</f>
        <v/>
      </c>
      <c r="G140" s="4">
        <f>IF('3. Monthly'!J140="","",'3. Monthly'!J140)</f>
        <v/>
      </c>
      <c r="H140" s="4">
        <f>IFERROR('3. Monthly'!K140/'3. Monthly'!L140,"")</f>
        <v/>
      </c>
      <c r="I140" s="21">
        <f>IFERROR('3. Monthly'!M140/'3. Monthly'!K140,"")</f>
        <v/>
      </c>
      <c r="J140" s="4">
        <f>IF('3. Monthly'!N140="","",'3. Monthly'!N140)</f>
        <v/>
      </c>
      <c r="K140" s="21">
        <f>IFERROR(('3. Monthly'!O140-'3. Monthly'!P140)/'3. Monthly'!O140,"")</f>
        <v/>
      </c>
      <c r="L140" s="21">
        <f>IFERROR('3. Monthly'!Q140/'3. Monthly'!G140,"")</f>
        <v/>
      </c>
      <c r="M140" s="21">
        <f>IFERROR('3. Monthly'!R140/'3. Monthly'!F140,"")</f>
        <v/>
      </c>
      <c r="N140" s="21">
        <f>IF('3. Monthly'!S140="","",'3. Monthly'!S140)</f>
        <v/>
      </c>
      <c r="O140" s="4">
        <f>IF('3. Monthly'!T140="","",'3. Monthly'!T140)</f>
        <v/>
      </c>
      <c r="P140" s="21">
        <f>IFERROR('3. Monthly'!U140/'3. Monthly'!H140,"")</f>
        <v/>
      </c>
      <c r="Q140" s="21">
        <f>IFERROR('3. Monthly'!V140/'3. Monthly'!H140,"")</f>
        <v/>
      </c>
      <c r="R140" s="21">
        <f>IFERROR('3. Monthly'!W140/'3. Monthly'!H140,"")</f>
        <v/>
      </c>
      <c r="S140" s="4">
        <f>IF('3. Monthly'!X140="","",'3. Monthly'!X140)</f>
        <v/>
      </c>
    </row>
    <row r="141">
      <c r="A141" s="4">
        <f>IF('3. Monthly'!A141="","",'3. Monthly'!A141)</f>
        <v/>
      </c>
      <c r="B141" s="20">
        <f>IF('3. Monthly'!A141="","",'3. Monthly'!B141)</f>
        <v/>
      </c>
      <c r="C141" s="4">
        <f>IF('3. Monthly'!A141="","",'3. Monthly'!C141)</f>
        <v/>
      </c>
      <c r="D141" s="21">
        <f>IFERROR('3. Monthly'!D141/'3. Monthly'!E141,"")</f>
        <v/>
      </c>
      <c r="E141" s="21">
        <f>IFERROR('3. Monthly'!F141/'3. Monthly'!G141,"")</f>
        <v/>
      </c>
      <c r="F141" s="21">
        <f>IFERROR('3. Monthly'!H141/'3. Monthly'!I141,"")</f>
        <v/>
      </c>
      <c r="G141" s="4">
        <f>IF('3. Monthly'!J141="","",'3. Monthly'!J141)</f>
        <v/>
      </c>
      <c r="H141" s="4">
        <f>IFERROR('3. Monthly'!K141/'3. Monthly'!L141,"")</f>
        <v/>
      </c>
      <c r="I141" s="21">
        <f>IFERROR('3. Monthly'!M141/'3. Monthly'!K141,"")</f>
        <v/>
      </c>
      <c r="J141" s="4">
        <f>IF('3. Monthly'!N141="","",'3. Monthly'!N141)</f>
        <v/>
      </c>
      <c r="K141" s="21">
        <f>IFERROR(('3. Monthly'!O141-'3. Monthly'!P141)/'3. Monthly'!O141,"")</f>
        <v/>
      </c>
      <c r="L141" s="21">
        <f>IFERROR('3. Monthly'!Q141/'3. Monthly'!G141,"")</f>
        <v/>
      </c>
      <c r="M141" s="21">
        <f>IFERROR('3. Monthly'!R141/'3. Monthly'!F141,"")</f>
        <v/>
      </c>
      <c r="N141" s="21">
        <f>IF('3. Monthly'!S141="","",'3. Monthly'!S141)</f>
        <v/>
      </c>
      <c r="O141" s="4">
        <f>IF('3. Monthly'!T141="","",'3. Monthly'!T141)</f>
        <v/>
      </c>
      <c r="P141" s="21">
        <f>IFERROR('3. Monthly'!U141/'3. Monthly'!H141,"")</f>
        <v/>
      </c>
      <c r="Q141" s="21">
        <f>IFERROR('3. Monthly'!V141/'3. Monthly'!H141,"")</f>
        <v/>
      </c>
      <c r="R141" s="21">
        <f>IFERROR('3. Monthly'!W141/'3. Monthly'!H141,"")</f>
        <v/>
      </c>
      <c r="S141" s="4">
        <f>IF('3. Monthly'!X141="","",'3. Monthly'!X141)</f>
        <v/>
      </c>
    </row>
    <row r="142">
      <c r="A142" s="4">
        <f>IF('3. Monthly'!A142="","",'3. Monthly'!A142)</f>
        <v/>
      </c>
      <c r="B142" s="20">
        <f>IF('3. Monthly'!A142="","",'3. Monthly'!B142)</f>
        <v/>
      </c>
      <c r="C142" s="4">
        <f>IF('3. Monthly'!A142="","",'3. Monthly'!C142)</f>
        <v/>
      </c>
      <c r="D142" s="21">
        <f>IFERROR('3. Monthly'!D142/'3. Monthly'!E142,"")</f>
        <v/>
      </c>
      <c r="E142" s="21">
        <f>IFERROR('3. Monthly'!F142/'3. Monthly'!G142,"")</f>
        <v/>
      </c>
      <c r="F142" s="21">
        <f>IFERROR('3. Monthly'!H142/'3. Monthly'!I142,"")</f>
        <v/>
      </c>
      <c r="G142" s="4">
        <f>IF('3. Monthly'!J142="","",'3. Monthly'!J142)</f>
        <v/>
      </c>
      <c r="H142" s="4">
        <f>IFERROR('3. Monthly'!K142/'3. Monthly'!L142,"")</f>
        <v/>
      </c>
      <c r="I142" s="21">
        <f>IFERROR('3. Monthly'!M142/'3. Monthly'!K142,"")</f>
        <v/>
      </c>
      <c r="J142" s="4">
        <f>IF('3. Monthly'!N142="","",'3. Monthly'!N142)</f>
        <v/>
      </c>
      <c r="K142" s="21">
        <f>IFERROR(('3. Monthly'!O142-'3. Monthly'!P142)/'3. Monthly'!O142,"")</f>
        <v/>
      </c>
      <c r="L142" s="21">
        <f>IFERROR('3. Monthly'!Q142/'3. Monthly'!G142,"")</f>
        <v/>
      </c>
      <c r="M142" s="21">
        <f>IFERROR('3. Monthly'!R142/'3. Monthly'!F142,"")</f>
        <v/>
      </c>
      <c r="N142" s="21">
        <f>IF('3. Monthly'!S142="","",'3. Monthly'!S142)</f>
        <v/>
      </c>
      <c r="O142" s="4">
        <f>IF('3. Monthly'!T142="","",'3. Monthly'!T142)</f>
        <v/>
      </c>
      <c r="P142" s="21">
        <f>IFERROR('3. Monthly'!U142/'3. Monthly'!H142,"")</f>
        <v/>
      </c>
      <c r="Q142" s="21">
        <f>IFERROR('3. Monthly'!V142/'3. Monthly'!H142,"")</f>
        <v/>
      </c>
      <c r="R142" s="21">
        <f>IFERROR('3. Monthly'!W142/'3. Monthly'!H142,"")</f>
        <v/>
      </c>
      <c r="S142" s="4">
        <f>IF('3. Monthly'!X142="","",'3. Monthly'!X142)</f>
        <v/>
      </c>
    </row>
    <row r="143">
      <c r="A143" s="4">
        <f>IF('3. Monthly'!A143="","",'3. Monthly'!A143)</f>
        <v/>
      </c>
      <c r="B143" s="20">
        <f>IF('3. Monthly'!A143="","",'3. Monthly'!B143)</f>
        <v/>
      </c>
      <c r="C143" s="4">
        <f>IF('3. Monthly'!A143="","",'3. Monthly'!C143)</f>
        <v/>
      </c>
      <c r="D143" s="21">
        <f>IFERROR('3. Monthly'!D143/'3. Monthly'!E143,"")</f>
        <v/>
      </c>
      <c r="E143" s="21">
        <f>IFERROR('3. Monthly'!F143/'3. Monthly'!G143,"")</f>
        <v/>
      </c>
      <c r="F143" s="21">
        <f>IFERROR('3. Monthly'!H143/'3. Monthly'!I143,"")</f>
        <v/>
      </c>
      <c r="G143" s="4">
        <f>IF('3. Monthly'!J143="","",'3. Monthly'!J143)</f>
        <v/>
      </c>
      <c r="H143" s="4">
        <f>IFERROR('3. Monthly'!K143/'3. Monthly'!L143,"")</f>
        <v/>
      </c>
      <c r="I143" s="21">
        <f>IFERROR('3. Monthly'!M143/'3. Monthly'!K143,"")</f>
        <v/>
      </c>
      <c r="J143" s="4">
        <f>IF('3. Monthly'!N143="","",'3. Monthly'!N143)</f>
        <v/>
      </c>
      <c r="K143" s="21">
        <f>IFERROR(('3. Monthly'!O143-'3. Monthly'!P143)/'3. Monthly'!O143,"")</f>
        <v/>
      </c>
      <c r="L143" s="21">
        <f>IFERROR('3. Monthly'!Q143/'3. Monthly'!G143,"")</f>
        <v/>
      </c>
      <c r="M143" s="21">
        <f>IFERROR('3. Monthly'!R143/'3. Monthly'!F143,"")</f>
        <v/>
      </c>
      <c r="N143" s="21">
        <f>IF('3. Monthly'!S143="","",'3. Monthly'!S143)</f>
        <v/>
      </c>
      <c r="O143" s="4">
        <f>IF('3. Monthly'!T143="","",'3. Monthly'!T143)</f>
        <v/>
      </c>
      <c r="P143" s="21">
        <f>IFERROR('3. Monthly'!U143/'3. Monthly'!H143,"")</f>
        <v/>
      </c>
      <c r="Q143" s="21">
        <f>IFERROR('3. Monthly'!V143/'3. Monthly'!H143,"")</f>
        <v/>
      </c>
      <c r="R143" s="21">
        <f>IFERROR('3. Monthly'!W143/'3. Monthly'!H143,"")</f>
        <v/>
      </c>
      <c r="S143" s="4">
        <f>IF('3. Monthly'!X143="","",'3. Monthly'!X143)</f>
        <v/>
      </c>
    </row>
    <row r="144">
      <c r="A144" s="4">
        <f>IF('3. Monthly'!A144="","",'3. Monthly'!A144)</f>
        <v/>
      </c>
      <c r="B144" s="20">
        <f>IF('3. Monthly'!A144="","",'3. Monthly'!B144)</f>
        <v/>
      </c>
      <c r="C144" s="4">
        <f>IF('3. Monthly'!A144="","",'3. Monthly'!C144)</f>
        <v/>
      </c>
      <c r="D144" s="21">
        <f>IFERROR('3. Monthly'!D144/'3. Monthly'!E144,"")</f>
        <v/>
      </c>
      <c r="E144" s="21">
        <f>IFERROR('3. Monthly'!F144/'3. Monthly'!G144,"")</f>
        <v/>
      </c>
      <c r="F144" s="21">
        <f>IFERROR('3. Monthly'!H144/'3. Monthly'!I144,"")</f>
        <v/>
      </c>
      <c r="G144" s="4">
        <f>IF('3. Monthly'!J144="","",'3. Monthly'!J144)</f>
        <v/>
      </c>
      <c r="H144" s="4">
        <f>IFERROR('3. Monthly'!K144/'3. Monthly'!L144,"")</f>
        <v/>
      </c>
      <c r="I144" s="21">
        <f>IFERROR('3. Monthly'!M144/'3. Monthly'!K144,"")</f>
        <v/>
      </c>
      <c r="J144" s="4">
        <f>IF('3. Monthly'!N144="","",'3. Monthly'!N144)</f>
        <v/>
      </c>
      <c r="K144" s="21">
        <f>IFERROR(('3. Monthly'!O144-'3. Monthly'!P144)/'3. Monthly'!O144,"")</f>
        <v/>
      </c>
      <c r="L144" s="21">
        <f>IFERROR('3. Monthly'!Q144/'3. Monthly'!G144,"")</f>
        <v/>
      </c>
      <c r="M144" s="21">
        <f>IFERROR('3. Monthly'!R144/'3. Monthly'!F144,"")</f>
        <v/>
      </c>
      <c r="N144" s="21">
        <f>IF('3. Monthly'!S144="","",'3. Monthly'!S144)</f>
        <v/>
      </c>
      <c r="O144" s="4">
        <f>IF('3. Monthly'!T144="","",'3. Monthly'!T144)</f>
        <v/>
      </c>
      <c r="P144" s="21">
        <f>IFERROR('3. Monthly'!U144/'3. Monthly'!H144,"")</f>
        <v/>
      </c>
      <c r="Q144" s="21">
        <f>IFERROR('3. Monthly'!V144/'3. Monthly'!H144,"")</f>
        <v/>
      </c>
      <c r="R144" s="21">
        <f>IFERROR('3. Monthly'!W144/'3. Monthly'!H144,"")</f>
        <v/>
      </c>
      <c r="S144" s="4">
        <f>IF('3. Monthly'!X144="","",'3. Monthly'!X144)</f>
        <v/>
      </c>
    </row>
    <row r="145">
      <c r="A145" s="4">
        <f>IF('3. Monthly'!A145="","",'3. Monthly'!A145)</f>
        <v/>
      </c>
      <c r="B145" s="20">
        <f>IF('3. Monthly'!A145="","",'3. Monthly'!B145)</f>
        <v/>
      </c>
      <c r="C145" s="4">
        <f>IF('3. Monthly'!A145="","",'3. Monthly'!C145)</f>
        <v/>
      </c>
      <c r="D145" s="21">
        <f>IFERROR('3. Monthly'!D145/'3. Monthly'!E145,"")</f>
        <v/>
      </c>
      <c r="E145" s="21">
        <f>IFERROR('3. Monthly'!F145/'3. Monthly'!G145,"")</f>
        <v/>
      </c>
      <c r="F145" s="21">
        <f>IFERROR('3. Monthly'!H145/'3. Monthly'!I145,"")</f>
        <v/>
      </c>
      <c r="G145" s="4">
        <f>IF('3. Monthly'!J145="","",'3. Monthly'!J145)</f>
        <v/>
      </c>
      <c r="H145" s="4">
        <f>IFERROR('3. Monthly'!K145/'3. Monthly'!L145,"")</f>
        <v/>
      </c>
      <c r="I145" s="21">
        <f>IFERROR('3. Monthly'!M145/'3. Monthly'!K145,"")</f>
        <v/>
      </c>
      <c r="J145" s="4">
        <f>IF('3. Monthly'!N145="","",'3. Monthly'!N145)</f>
        <v/>
      </c>
      <c r="K145" s="21">
        <f>IFERROR(('3. Monthly'!O145-'3. Monthly'!P145)/'3. Monthly'!O145,"")</f>
        <v/>
      </c>
      <c r="L145" s="21">
        <f>IFERROR('3. Monthly'!Q145/'3. Monthly'!G145,"")</f>
        <v/>
      </c>
      <c r="M145" s="21">
        <f>IFERROR('3. Monthly'!R145/'3. Monthly'!F145,"")</f>
        <v/>
      </c>
      <c r="N145" s="21">
        <f>IF('3. Monthly'!S145="","",'3. Monthly'!S145)</f>
        <v/>
      </c>
      <c r="O145" s="4">
        <f>IF('3. Monthly'!T145="","",'3. Monthly'!T145)</f>
        <v/>
      </c>
      <c r="P145" s="21">
        <f>IFERROR('3. Monthly'!U145/'3. Monthly'!H145,"")</f>
        <v/>
      </c>
      <c r="Q145" s="21">
        <f>IFERROR('3. Monthly'!V145/'3. Monthly'!H145,"")</f>
        <v/>
      </c>
      <c r="R145" s="21">
        <f>IFERROR('3. Monthly'!W145/'3. Monthly'!H145,"")</f>
        <v/>
      </c>
      <c r="S145" s="4">
        <f>IF('3. Monthly'!X145="","",'3. Monthly'!X145)</f>
        <v/>
      </c>
    </row>
    <row r="146">
      <c r="A146" s="4">
        <f>IF('3. Monthly'!A146="","",'3. Monthly'!A146)</f>
        <v/>
      </c>
      <c r="B146" s="20">
        <f>IF('3. Monthly'!A146="","",'3. Monthly'!B146)</f>
        <v/>
      </c>
      <c r="C146" s="4">
        <f>IF('3. Monthly'!A146="","",'3. Monthly'!C146)</f>
        <v/>
      </c>
      <c r="D146" s="21">
        <f>IFERROR('3. Monthly'!D146/'3. Monthly'!E146,"")</f>
        <v/>
      </c>
      <c r="E146" s="21">
        <f>IFERROR('3. Monthly'!F146/'3. Monthly'!G146,"")</f>
        <v/>
      </c>
      <c r="F146" s="21">
        <f>IFERROR('3. Monthly'!H146/'3. Monthly'!I146,"")</f>
        <v/>
      </c>
      <c r="G146" s="4">
        <f>IF('3. Monthly'!J146="","",'3. Monthly'!J146)</f>
        <v/>
      </c>
      <c r="H146" s="4">
        <f>IFERROR('3. Monthly'!K146/'3. Monthly'!L146,"")</f>
        <v/>
      </c>
      <c r="I146" s="21">
        <f>IFERROR('3. Monthly'!M146/'3. Monthly'!K146,"")</f>
        <v/>
      </c>
      <c r="J146" s="4">
        <f>IF('3. Monthly'!N146="","",'3. Monthly'!N146)</f>
        <v/>
      </c>
      <c r="K146" s="21">
        <f>IFERROR(('3. Monthly'!O146-'3. Monthly'!P146)/'3. Monthly'!O146,"")</f>
        <v/>
      </c>
      <c r="L146" s="21">
        <f>IFERROR('3. Monthly'!Q146/'3. Monthly'!G146,"")</f>
        <v/>
      </c>
      <c r="M146" s="21">
        <f>IFERROR('3. Monthly'!R146/'3. Monthly'!F146,"")</f>
        <v/>
      </c>
      <c r="N146" s="21">
        <f>IF('3. Monthly'!S146="","",'3. Monthly'!S146)</f>
        <v/>
      </c>
      <c r="O146" s="4">
        <f>IF('3. Monthly'!T146="","",'3. Monthly'!T146)</f>
        <v/>
      </c>
      <c r="P146" s="21">
        <f>IFERROR('3. Monthly'!U146/'3. Monthly'!H146,"")</f>
        <v/>
      </c>
      <c r="Q146" s="21">
        <f>IFERROR('3. Monthly'!V146/'3. Monthly'!H146,"")</f>
        <v/>
      </c>
      <c r="R146" s="21">
        <f>IFERROR('3. Monthly'!W146/'3. Monthly'!H146,"")</f>
        <v/>
      </c>
      <c r="S146" s="4">
        <f>IF('3. Monthly'!X146="","",'3. Monthly'!X146)</f>
        <v/>
      </c>
    </row>
    <row r="147">
      <c r="A147" s="4">
        <f>IF('3. Monthly'!A147="","",'3. Monthly'!A147)</f>
        <v/>
      </c>
      <c r="B147" s="20">
        <f>IF('3. Monthly'!A147="","",'3. Monthly'!B147)</f>
        <v/>
      </c>
      <c r="C147" s="4">
        <f>IF('3. Monthly'!A147="","",'3. Monthly'!C147)</f>
        <v/>
      </c>
      <c r="D147" s="21">
        <f>IFERROR('3. Monthly'!D147/'3. Monthly'!E147,"")</f>
        <v/>
      </c>
      <c r="E147" s="21">
        <f>IFERROR('3. Monthly'!F147/'3. Monthly'!G147,"")</f>
        <v/>
      </c>
      <c r="F147" s="21">
        <f>IFERROR('3. Monthly'!H147/'3. Monthly'!I147,"")</f>
        <v/>
      </c>
      <c r="G147" s="4">
        <f>IF('3. Monthly'!J147="","",'3. Monthly'!J147)</f>
        <v/>
      </c>
      <c r="H147" s="4">
        <f>IFERROR('3. Monthly'!K147/'3. Monthly'!L147,"")</f>
        <v/>
      </c>
      <c r="I147" s="21">
        <f>IFERROR('3. Monthly'!M147/'3. Monthly'!K147,"")</f>
        <v/>
      </c>
      <c r="J147" s="4">
        <f>IF('3. Monthly'!N147="","",'3. Monthly'!N147)</f>
        <v/>
      </c>
      <c r="K147" s="21">
        <f>IFERROR(('3. Monthly'!O147-'3. Monthly'!P147)/'3. Monthly'!O147,"")</f>
        <v/>
      </c>
      <c r="L147" s="21">
        <f>IFERROR('3. Monthly'!Q147/'3. Monthly'!G147,"")</f>
        <v/>
      </c>
      <c r="M147" s="21">
        <f>IFERROR('3. Monthly'!R147/'3. Monthly'!F147,"")</f>
        <v/>
      </c>
      <c r="N147" s="21">
        <f>IF('3. Monthly'!S147="","",'3. Monthly'!S147)</f>
        <v/>
      </c>
      <c r="O147" s="4">
        <f>IF('3. Monthly'!T147="","",'3. Monthly'!T147)</f>
        <v/>
      </c>
      <c r="P147" s="21">
        <f>IFERROR('3. Monthly'!U147/'3. Monthly'!H147,"")</f>
        <v/>
      </c>
      <c r="Q147" s="21">
        <f>IFERROR('3. Monthly'!V147/'3. Monthly'!H147,"")</f>
        <v/>
      </c>
      <c r="R147" s="21">
        <f>IFERROR('3. Monthly'!W147/'3. Monthly'!H147,"")</f>
        <v/>
      </c>
      <c r="S147" s="4">
        <f>IF('3. Monthly'!X147="","",'3. Monthly'!X147)</f>
        <v/>
      </c>
    </row>
    <row r="148">
      <c r="A148" s="4">
        <f>IF('3. Monthly'!A148="","",'3. Monthly'!A148)</f>
        <v/>
      </c>
      <c r="B148" s="20">
        <f>IF('3. Monthly'!A148="","",'3. Monthly'!B148)</f>
        <v/>
      </c>
      <c r="C148" s="4">
        <f>IF('3. Monthly'!A148="","",'3. Monthly'!C148)</f>
        <v/>
      </c>
      <c r="D148" s="21">
        <f>IFERROR('3. Monthly'!D148/'3. Monthly'!E148,"")</f>
        <v/>
      </c>
      <c r="E148" s="21">
        <f>IFERROR('3. Monthly'!F148/'3. Monthly'!G148,"")</f>
        <v/>
      </c>
      <c r="F148" s="21">
        <f>IFERROR('3. Monthly'!H148/'3. Monthly'!I148,"")</f>
        <v/>
      </c>
      <c r="G148" s="4">
        <f>IF('3. Monthly'!J148="","",'3. Monthly'!J148)</f>
        <v/>
      </c>
      <c r="H148" s="4">
        <f>IFERROR('3. Monthly'!K148/'3. Monthly'!L148,"")</f>
        <v/>
      </c>
      <c r="I148" s="21">
        <f>IFERROR('3. Monthly'!M148/'3. Monthly'!K148,"")</f>
        <v/>
      </c>
      <c r="J148" s="4">
        <f>IF('3. Monthly'!N148="","",'3. Monthly'!N148)</f>
        <v/>
      </c>
      <c r="K148" s="21">
        <f>IFERROR(('3. Monthly'!O148-'3. Monthly'!P148)/'3. Monthly'!O148,"")</f>
        <v/>
      </c>
      <c r="L148" s="21">
        <f>IFERROR('3. Monthly'!Q148/'3. Monthly'!G148,"")</f>
        <v/>
      </c>
      <c r="M148" s="21">
        <f>IFERROR('3. Monthly'!R148/'3. Monthly'!F148,"")</f>
        <v/>
      </c>
      <c r="N148" s="21">
        <f>IF('3. Monthly'!S148="","",'3. Monthly'!S148)</f>
        <v/>
      </c>
      <c r="O148" s="4">
        <f>IF('3. Monthly'!T148="","",'3. Monthly'!T148)</f>
        <v/>
      </c>
      <c r="P148" s="21">
        <f>IFERROR('3. Monthly'!U148/'3. Monthly'!H148,"")</f>
        <v/>
      </c>
      <c r="Q148" s="21">
        <f>IFERROR('3. Monthly'!V148/'3. Monthly'!H148,"")</f>
        <v/>
      </c>
      <c r="R148" s="21">
        <f>IFERROR('3. Monthly'!W148/'3. Monthly'!H148,"")</f>
        <v/>
      </c>
      <c r="S148" s="4">
        <f>IF('3. Monthly'!X148="","",'3. Monthly'!X148)</f>
        <v/>
      </c>
    </row>
    <row r="149">
      <c r="A149" s="4">
        <f>IF('3. Monthly'!A149="","",'3. Monthly'!A149)</f>
        <v/>
      </c>
      <c r="B149" s="20">
        <f>IF('3. Monthly'!A149="","",'3. Monthly'!B149)</f>
        <v/>
      </c>
      <c r="C149" s="4">
        <f>IF('3. Monthly'!A149="","",'3. Monthly'!C149)</f>
        <v/>
      </c>
      <c r="D149" s="21">
        <f>IFERROR('3. Monthly'!D149/'3. Monthly'!E149,"")</f>
        <v/>
      </c>
      <c r="E149" s="21">
        <f>IFERROR('3. Monthly'!F149/'3. Monthly'!G149,"")</f>
        <v/>
      </c>
      <c r="F149" s="21">
        <f>IFERROR('3. Monthly'!H149/'3. Monthly'!I149,"")</f>
        <v/>
      </c>
      <c r="G149" s="4">
        <f>IF('3. Monthly'!J149="","",'3. Monthly'!J149)</f>
        <v/>
      </c>
      <c r="H149" s="4">
        <f>IFERROR('3. Monthly'!K149/'3. Monthly'!L149,"")</f>
        <v/>
      </c>
      <c r="I149" s="21">
        <f>IFERROR('3. Monthly'!M149/'3. Monthly'!K149,"")</f>
        <v/>
      </c>
      <c r="J149" s="4">
        <f>IF('3. Monthly'!N149="","",'3. Monthly'!N149)</f>
        <v/>
      </c>
      <c r="K149" s="21">
        <f>IFERROR(('3. Monthly'!O149-'3. Monthly'!P149)/'3. Monthly'!O149,"")</f>
        <v/>
      </c>
      <c r="L149" s="21">
        <f>IFERROR('3. Monthly'!Q149/'3. Monthly'!G149,"")</f>
        <v/>
      </c>
      <c r="M149" s="21">
        <f>IFERROR('3. Monthly'!R149/'3. Monthly'!F149,"")</f>
        <v/>
      </c>
      <c r="N149" s="21">
        <f>IF('3. Monthly'!S149="","",'3. Monthly'!S149)</f>
        <v/>
      </c>
      <c r="O149" s="4">
        <f>IF('3. Monthly'!T149="","",'3. Monthly'!T149)</f>
        <v/>
      </c>
      <c r="P149" s="21">
        <f>IFERROR('3. Monthly'!U149/'3. Monthly'!H149,"")</f>
        <v/>
      </c>
      <c r="Q149" s="21">
        <f>IFERROR('3. Monthly'!V149/'3. Monthly'!H149,"")</f>
        <v/>
      </c>
      <c r="R149" s="21">
        <f>IFERROR('3. Monthly'!W149/'3. Monthly'!H149,"")</f>
        <v/>
      </c>
      <c r="S149" s="4">
        <f>IF('3. Monthly'!X149="","",'3. Monthly'!X149)</f>
        <v/>
      </c>
    </row>
    <row r="150">
      <c r="A150" s="4">
        <f>IF('3. Monthly'!A150="","",'3. Monthly'!A150)</f>
        <v/>
      </c>
      <c r="B150" s="20">
        <f>IF('3. Monthly'!A150="","",'3. Monthly'!B150)</f>
        <v/>
      </c>
      <c r="C150" s="4">
        <f>IF('3. Monthly'!A150="","",'3. Monthly'!C150)</f>
        <v/>
      </c>
      <c r="D150" s="21">
        <f>IFERROR('3. Monthly'!D150/'3. Monthly'!E150,"")</f>
        <v/>
      </c>
      <c r="E150" s="21">
        <f>IFERROR('3. Monthly'!F150/'3. Monthly'!G150,"")</f>
        <v/>
      </c>
      <c r="F150" s="21">
        <f>IFERROR('3. Monthly'!H150/'3. Monthly'!I150,"")</f>
        <v/>
      </c>
      <c r="G150" s="4">
        <f>IF('3. Monthly'!J150="","",'3. Monthly'!J150)</f>
        <v/>
      </c>
      <c r="H150" s="4">
        <f>IFERROR('3. Monthly'!K150/'3. Monthly'!L150,"")</f>
        <v/>
      </c>
      <c r="I150" s="21">
        <f>IFERROR('3. Monthly'!M150/'3. Monthly'!K150,"")</f>
        <v/>
      </c>
      <c r="J150" s="4">
        <f>IF('3. Monthly'!N150="","",'3. Monthly'!N150)</f>
        <v/>
      </c>
      <c r="K150" s="21">
        <f>IFERROR(('3. Monthly'!O150-'3. Monthly'!P150)/'3. Monthly'!O150,"")</f>
        <v/>
      </c>
      <c r="L150" s="21">
        <f>IFERROR('3. Monthly'!Q150/'3. Monthly'!G150,"")</f>
        <v/>
      </c>
      <c r="M150" s="21">
        <f>IFERROR('3. Monthly'!R150/'3. Monthly'!F150,"")</f>
        <v/>
      </c>
      <c r="N150" s="21">
        <f>IF('3. Monthly'!S150="","",'3. Monthly'!S150)</f>
        <v/>
      </c>
      <c r="O150" s="4">
        <f>IF('3. Monthly'!T150="","",'3. Monthly'!T150)</f>
        <v/>
      </c>
      <c r="P150" s="21">
        <f>IFERROR('3. Monthly'!U150/'3. Monthly'!H150,"")</f>
        <v/>
      </c>
      <c r="Q150" s="21">
        <f>IFERROR('3. Monthly'!V150/'3. Monthly'!H150,"")</f>
        <v/>
      </c>
      <c r="R150" s="21">
        <f>IFERROR('3. Monthly'!W150/'3. Monthly'!H150,"")</f>
        <v/>
      </c>
      <c r="S150" s="4">
        <f>IF('3. Monthly'!X150="","",'3. Monthly'!X150)</f>
        <v/>
      </c>
    </row>
    <row r="151">
      <c r="A151" s="4">
        <f>IF('3. Monthly'!A151="","",'3. Monthly'!A151)</f>
        <v/>
      </c>
      <c r="B151" s="20">
        <f>IF('3. Monthly'!A151="","",'3. Monthly'!B151)</f>
        <v/>
      </c>
      <c r="C151" s="4">
        <f>IF('3. Monthly'!A151="","",'3. Monthly'!C151)</f>
        <v/>
      </c>
      <c r="D151" s="21">
        <f>IFERROR('3. Monthly'!D151/'3. Monthly'!E151,"")</f>
        <v/>
      </c>
      <c r="E151" s="21">
        <f>IFERROR('3. Monthly'!F151/'3. Monthly'!G151,"")</f>
        <v/>
      </c>
      <c r="F151" s="21">
        <f>IFERROR('3. Monthly'!H151/'3. Monthly'!I151,"")</f>
        <v/>
      </c>
      <c r="G151" s="4">
        <f>IF('3. Monthly'!J151="","",'3. Monthly'!J151)</f>
        <v/>
      </c>
      <c r="H151" s="4">
        <f>IFERROR('3. Monthly'!K151/'3. Monthly'!L151,"")</f>
        <v/>
      </c>
      <c r="I151" s="21">
        <f>IFERROR('3. Monthly'!M151/'3. Monthly'!K151,"")</f>
        <v/>
      </c>
      <c r="J151" s="4">
        <f>IF('3. Monthly'!N151="","",'3. Monthly'!N151)</f>
        <v/>
      </c>
      <c r="K151" s="21">
        <f>IFERROR(('3. Monthly'!O151-'3. Monthly'!P151)/'3. Monthly'!O151,"")</f>
        <v/>
      </c>
      <c r="L151" s="21">
        <f>IFERROR('3. Monthly'!Q151/'3. Monthly'!G151,"")</f>
        <v/>
      </c>
      <c r="M151" s="21">
        <f>IFERROR('3. Monthly'!R151/'3. Monthly'!F151,"")</f>
        <v/>
      </c>
      <c r="N151" s="21">
        <f>IF('3. Monthly'!S151="","",'3. Monthly'!S151)</f>
        <v/>
      </c>
      <c r="O151" s="4">
        <f>IF('3. Monthly'!T151="","",'3. Monthly'!T151)</f>
        <v/>
      </c>
      <c r="P151" s="21">
        <f>IFERROR('3. Monthly'!U151/'3. Monthly'!H151,"")</f>
        <v/>
      </c>
      <c r="Q151" s="21">
        <f>IFERROR('3. Monthly'!V151/'3. Monthly'!H151,"")</f>
        <v/>
      </c>
      <c r="R151" s="21">
        <f>IFERROR('3. Monthly'!W151/'3. Monthly'!H151,"")</f>
        <v/>
      </c>
      <c r="S151" s="4">
        <f>IF('3. Monthly'!X151="","",'3. Monthly'!X151)</f>
        <v/>
      </c>
    </row>
    <row r="152">
      <c r="A152" s="4">
        <f>IF('3. Monthly'!A152="","",'3. Monthly'!A152)</f>
        <v/>
      </c>
      <c r="B152" s="20">
        <f>IF('3. Monthly'!A152="","",'3. Monthly'!B152)</f>
        <v/>
      </c>
      <c r="C152" s="4">
        <f>IF('3. Monthly'!A152="","",'3. Monthly'!C152)</f>
        <v/>
      </c>
      <c r="D152" s="21">
        <f>IFERROR('3. Monthly'!D152/'3. Monthly'!E152,"")</f>
        <v/>
      </c>
      <c r="E152" s="21">
        <f>IFERROR('3. Monthly'!F152/'3. Monthly'!G152,"")</f>
        <v/>
      </c>
      <c r="F152" s="21">
        <f>IFERROR('3. Monthly'!H152/'3. Monthly'!I152,"")</f>
        <v/>
      </c>
      <c r="G152" s="4">
        <f>IF('3. Monthly'!J152="","",'3. Monthly'!J152)</f>
        <v/>
      </c>
      <c r="H152" s="4">
        <f>IFERROR('3. Monthly'!K152/'3. Monthly'!L152,"")</f>
        <v/>
      </c>
      <c r="I152" s="21">
        <f>IFERROR('3. Monthly'!M152/'3. Monthly'!K152,"")</f>
        <v/>
      </c>
      <c r="J152" s="4">
        <f>IF('3. Monthly'!N152="","",'3. Monthly'!N152)</f>
        <v/>
      </c>
      <c r="K152" s="21">
        <f>IFERROR(('3. Monthly'!O152-'3. Monthly'!P152)/'3. Monthly'!O152,"")</f>
        <v/>
      </c>
      <c r="L152" s="21">
        <f>IFERROR('3. Monthly'!Q152/'3. Monthly'!G152,"")</f>
        <v/>
      </c>
      <c r="M152" s="21">
        <f>IFERROR('3. Monthly'!R152/'3. Monthly'!F152,"")</f>
        <v/>
      </c>
      <c r="N152" s="21">
        <f>IF('3. Monthly'!S152="","",'3. Monthly'!S152)</f>
        <v/>
      </c>
      <c r="O152" s="4">
        <f>IF('3. Monthly'!T152="","",'3. Monthly'!T152)</f>
        <v/>
      </c>
      <c r="P152" s="21">
        <f>IFERROR('3. Monthly'!U152/'3. Monthly'!H152,"")</f>
        <v/>
      </c>
      <c r="Q152" s="21">
        <f>IFERROR('3. Monthly'!V152/'3. Monthly'!H152,"")</f>
        <v/>
      </c>
      <c r="R152" s="21">
        <f>IFERROR('3. Monthly'!W152/'3. Monthly'!H152,"")</f>
        <v/>
      </c>
      <c r="S152" s="4">
        <f>IF('3. Monthly'!X152="","",'3. Monthly'!X152)</f>
        <v/>
      </c>
    </row>
    <row r="153">
      <c r="A153" s="4">
        <f>IF('3. Monthly'!A153="","",'3. Monthly'!A153)</f>
        <v/>
      </c>
      <c r="B153" s="20">
        <f>IF('3. Monthly'!A153="","",'3. Monthly'!B153)</f>
        <v/>
      </c>
      <c r="C153" s="4">
        <f>IF('3. Monthly'!A153="","",'3. Monthly'!C153)</f>
        <v/>
      </c>
      <c r="D153" s="21">
        <f>IFERROR('3. Monthly'!D153/'3. Monthly'!E153,"")</f>
        <v/>
      </c>
      <c r="E153" s="21">
        <f>IFERROR('3. Monthly'!F153/'3. Monthly'!G153,"")</f>
        <v/>
      </c>
      <c r="F153" s="21">
        <f>IFERROR('3. Monthly'!H153/'3. Monthly'!I153,"")</f>
        <v/>
      </c>
      <c r="G153" s="4">
        <f>IF('3. Monthly'!J153="","",'3. Monthly'!J153)</f>
        <v/>
      </c>
      <c r="H153" s="4">
        <f>IFERROR('3. Monthly'!K153/'3. Monthly'!L153,"")</f>
        <v/>
      </c>
      <c r="I153" s="21">
        <f>IFERROR('3. Monthly'!M153/'3. Monthly'!K153,"")</f>
        <v/>
      </c>
      <c r="J153" s="4">
        <f>IF('3. Monthly'!N153="","",'3. Monthly'!N153)</f>
        <v/>
      </c>
      <c r="K153" s="21">
        <f>IFERROR(('3. Monthly'!O153-'3. Monthly'!P153)/'3. Monthly'!O153,"")</f>
        <v/>
      </c>
      <c r="L153" s="21">
        <f>IFERROR('3. Monthly'!Q153/'3. Monthly'!G153,"")</f>
        <v/>
      </c>
      <c r="M153" s="21">
        <f>IFERROR('3. Monthly'!R153/'3. Monthly'!F153,"")</f>
        <v/>
      </c>
      <c r="N153" s="21">
        <f>IF('3. Monthly'!S153="","",'3. Monthly'!S153)</f>
        <v/>
      </c>
      <c r="O153" s="4">
        <f>IF('3. Monthly'!T153="","",'3. Monthly'!T153)</f>
        <v/>
      </c>
      <c r="P153" s="21">
        <f>IFERROR('3. Monthly'!U153/'3. Monthly'!H153,"")</f>
        <v/>
      </c>
      <c r="Q153" s="21">
        <f>IFERROR('3. Monthly'!V153/'3. Monthly'!H153,"")</f>
        <v/>
      </c>
      <c r="R153" s="21">
        <f>IFERROR('3. Monthly'!W153/'3. Monthly'!H153,"")</f>
        <v/>
      </c>
      <c r="S153" s="4">
        <f>IF('3. Monthly'!X153="","",'3. Monthly'!X153)</f>
        <v/>
      </c>
    </row>
    <row r="154">
      <c r="A154" s="4">
        <f>IF('3. Monthly'!A154="","",'3. Monthly'!A154)</f>
        <v/>
      </c>
      <c r="B154" s="20">
        <f>IF('3. Monthly'!A154="","",'3. Monthly'!B154)</f>
        <v/>
      </c>
      <c r="C154" s="4">
        <f>IF('3. Monthly'!A154="","",'3. Monthly'!C154)</f>
        <v/>
      </c>
      <c r="D154" s="21">
        <f>IFERROR('3. Monthly'!D154/'3. Monthly'!E154,"")</f>
        <v/>
      </c>
      <c r="E154" s="21">
        <f>IFERROR('3. Monthly'!F154/'3. Monthly'!G154,"")</f>
        <v/>
      </c>
      <c r="F154" s="21">
        <f>IFERROR('3. Monthly'!H154/'3. Monthly'!I154,"")</f>
        <v/>
      </c>
      <c r="G154" s="4">
        <f>IF('3. Monthly'!J154="","",'3. Monthly'!J154)</f>
        <v/>
      </c>
      <c r="H154" s="4">
        <f>IFERROR('3. Monthly'!K154/'3. Monthly'!L154,"")</f>
        <v/>
      </c>
      <c r="I154" s="21">
        <f>IFERROR('3. Monthly'!M154/'3. Monthly'!K154,"")</f>
        <v/>
      </c>
      <c r="J154" s="4">
        <f>IF('3. Monthly'!N154="","",'3. Monthly'!N154)</f>
        <v/>
      </c>
      <c r="K154" s="21">
        <f>IFERROR(('3. Monthly'!O154-'3. Monthly'!P154)/'3. Monthly'!O154,"")</f>
        <v/>
      </c>
      <c r="L154" s="21">
        <f>IFERROR('3. Monthly'!Q154/'3. Monthly'!G154,"")</f>
        <v/>
      </c>
      <c r="M154" s="21">
        <f>IFERROR('3. Monthly'!R154/'3. Monthly'!F154,"")</f>
        <v/>
      </c>
      <c r="N154" s="21">
        <f>IF('3. Monthly'!S154="","",'3. Monthly'!S154)</f>
        <v/>
      </c>
      <c r="O154" s="4">
        <f>IF('3. Monthly'!T154="","",'3. Monthly'!T154)</f>
        <v/>
      </c>
      <c r="P154" s="21">
        <f>IFERROR('3. Monthly'!U154/'3. Monthly'!H154,"")</f>
        <v/>
      </c>
      <c r="Q154" s="21">
        <f>IFERROR('3. Monthly'!V154/'3. Monthly'!H154,"")</f>
        <v/>
      </c>
      <c r="R154" s="21">
        <f>IFERROR('3. Monthly'!W154/'3. Monthly'!H154,"")</f>
        <v/>
      </c>
      <c r="S154" s="4">
        <f>IF('3. Monthly'!X154="","",'3. Monthly'!X154)</f>
        <v/>
      </c>
    </row>
    <row r="155">
      <c r="A155" s="4">
        <f>IF('3. Monthly'!A155="","",'3. Monthly'!A155)</f>
        <v/>
      </c>
      <c r="B155" s="20">
        <f>IF('3. Monthly'!A155="","",'3. Monthly'!B155)</f>
        <v/>
      </c>
      <c r="C155" s="4">
        <f>IF('3. Monthly'!A155="","",'3. Monthly'!C155)</f>
        <v/>
      </c>
      <c r="D155" s="21">
        <f>IFERROR('3. Monthly'!D155/'3. Monthly'!E155,"")</f>
        <v/>
      </c>
      <c r="E155" s="21">
        <f>IFERROR('3. Monthly'!F155/'3. Monthly'!G155,"")</f>
        <v/>
      </c>
      <c r="F155" s="21">
        <f>IFERROR('3. Monthly'!H155/'3. Monthly'!I155,"")</f>
        <v/>
      </c>
      <c r="G155" s="4">
        <f>IF('3. Monthly'!J155="","",'3. Monthly'!J155)</f>
        <v/>
      </c>
      <c r="H155" s="4">
        <f>IFERROR('3. Monthly'!K155/'3. Monthly'!L155,"")</f>
        <v/>
      </c>
      <c r="I155" s="21">
        <f>IFERROR('3. Monthly'!M155/'3. Monthly'!K155,"")</f>
        <v/>
      </c>
      <c r="J155" s="4">
        <f>IF('3. Monthly'!N155="","",'3. Monthly'!N155)</f>
        <v/>
      </c>
      <c r="K155" s="21">
        <f>IFERROR(('3. Monthly'!O155-'3. Monthly'!P155)/'3. Monthly'!O155,"")</f>
        <v/>
      </c>
      <c r="L155" s="21">
        <f>IFERROR('3. Monthly'!Q155/'3. Monthly'!G155,"")</f>
        <v/>
      </c>
      <c r="M155" s="21">
        <f>IFERROR('3. Monthly'!R155/'3. Monthly'!F155,"")</f>
        <v/>
      </c>
      <c r="N155" s="21">
        <f>IF('3. Monthly'!S155="","",'3. Monthly'!S155)</f>
        <v/>
      </c>
      <c r="O155" s="4">
        <f>IF('3. Monthly'!T155="","",'3. Monthly'!T155)</f>
        <v/>
      </c>
      <c r="P155" s="21">
        <f>IFERROR('3. Monthly'!U155/'3. Monthly'!H155,"")</f>
        <v/>
      </c>
      <c r="Q155" s="21">
        <f>IFERROR('3. Monthly'!V155/'3. Monthly'!H155,"")</f>
        <v/>
      </c>
      <c r="R155" s="21">
        <f>IFERROR('3. Monthly'!W155/'3. Monthly'!H155,"")</f>
        <v/>
      </c>
      <c r="S155" s="4">
        <f>IF('3. Monthly'!X155="","",'3. Monthly'!X155)</f>
        <v/>
      </c>
    </row>
    <row r="156">
      <c r="A156" s="4">
        <f>IF('3. Monthly'!A156="","",'3. Monthly'!A156)</f>
        <v/>
      </c>
      <c r="B156" s="20">
        <f>IF('3. Monthly'!A156="","",'3. Monthly'!B156)</f>
        <v/>
      </c>
      <c r="C156" s="4">
        <f>IF('3. Monthly'!A156="","",'3. Monthly'!C156)</f>
        <v/>
      </c>
      <c r="D156" s="21">
        <f>IFERROR('3. Monthly'!D156/'3. Monthly'!E156,"")</f>
        <v/>
      </c>
      <c r="E156" s="21">
        <f>IFERROR('3. Monthly'!F156/'3. Monthly'!G156,"")</f>
        <v/>
      </c>
      <c r="F156" s="21">
        <f>IFERROR('3. Monthly'!H156/'3. Monthly'!I156,"")</f>
        <v/>
      </c>
      <c r="G156" s="4">
        <f>IF('3. Monthly'!J156="","",'3. Monthly'!J156)</f>
        <v/>
      </c>
      <c r="H156" s="4">
        <f>IFERROR('3. Monthly'!K156/'3. Monthly'!L156,"")</f>
        <v/>
      </c>
      <c r="I156" s="21">
        <f>IFERROR('3. Monthly'!M156/'3. Monthly'!K156,"")</f>
        <v/>
      </c>
      <c r="J156" s="4">
        <f>IF('3. Monthly'!N156="","",'3. Monthly'!N156)</f>
        <v/>
      </c>
      <c r="K156" s="21">
        <f>IFERROR(('3. Monthly'!O156-'3. Monthly'!P156)/'3. Monthly'!O156,"")</f>
        <v/>
      </c>
      <c r="L156" s="21">
        <f>IFERROR('3. Monthly'!Q156/'3. Monthly'!G156,"")</f>
        <v/>
      </c>
      <c r="M156" s="21">
        <f>IFERROR('3. Monthly'!R156/'3. Monthly'!F156,"")</f>
        <v/>
      </c>
      <c r="N156" s="21">
        <f>IF('3. Monthly'!S156="","",'3. Monthly'!S156)</f>
        <v/>
      </c>
      <c r="O156" s="4">
        <f>IF('3. Monthly'!T156="","",'3. Monthly'!T156)</f>
        <v/>
      </c>
      <c r="P156" s="21">
        <f>IFERROR('3. Monthly'!U156/'3. Monthly'!H156,"")</f>
        <v/>
      </c>
      <c r="Q156" s="21">
        <f>IFERROR('3. Monthly'!V156/'3. Monthly'!H156,"")</f>
        <v/>
      </c>
      <c r="R156" s="21">
        <f>IFERROR('3. Monthly'!W156/'3. Monthly'!H156,"")</f>
        <v/>
      </c>
      <c r="S156" s="4">
        <f>IF('3. Monthly'!X156="","",'3. Monthly'!X156)</f>
        <v/>
      </c>
    </row>
    <row r="157">
      <c r="A157" s="4">
        <f>IF('3. Monthly'!A157="","",'3. Monthly'!A157)</f>
        <v/>
      </c>
      <c r="B157" s="20">
        <f>IF('3. Monthly'!A157="","",'3. Monthly'!B157)</f>
        <v/>
      </c>
      <c r="C157" s="4">
        <f>IF('3. Monthly'!A157="","",'3. Monthly'!C157)</f>
        <v/>
      </c>
      <c r="D157" s="21">
        <f>IFERROR('3. Monthly'!D157/'3. Monthly'!E157,"")</f>
        <v/>
      </c>
      <c r="E157" s="21">
        <f>IFERROR('3. Monthly'!F157/'3. Monthly'!G157,"")</f>
        <v/>
      </c>
      <c r="F157" s="21">
        <f>IFERROR('3. Monthly'!H157/'3. Monthly'!I157,"")</f>
        <v/>
      </c>
      <c r="G157" s="4">
        <f>IF('3. Monthly'!J157="","",'3. Monthly'!J157)</f>
        <v/>
      </c>
      <c r="H157" s="4">
        <f>IFERROR('3. Monthly'!K157/'3. Monthly'!L157,"")</f>
        <v/>
      </c>
      <c r="I157" s="21">
        <f>IFERROR('3. Monthly'!M157/'3. Monthly'!K157,"")</f>
        <v/>
      </c>
      <c r="J157" s="4">
        <f>IF('3. Monthly'!N157="","",'3. Monthly'!N157)</f>
        <v/>
      </c>
      <c r="K157" s="21">
        <f>IFERROR(('3. Monthly'!O157-'3. Monthly'!P157)/'3. Monthly'!O157,"")</f>
        <v/>
      </c>
      <c r="L157" s="21">
        <f>IFERROR('3. Monthly'!Q157/'3. Monthly'!G157,"")</f>
        <v/>
      </c>
      <c r="M157" s="21">
        <f>IFERROR('3. Monthly'!R157/'3. Monthly'!F157,"")</f>
        <v/>
      </c>
      <c r="N157" s="21">
        <f>IF('3. Monthly'!S157="","",'3. Monthly'!S157)</f>
        <v/>
      </c>
      <c r="O157" s="4">
        <f>IF('3. Monthly'!T157="","",'3. Monthly'!T157)</f>
        <v/>
      </c>
      <c r="P157" s="21">
        <f>IFERROR('3. Monthly'!U157/'3. Monthly'!H157,"")</f>
        <v/>
      </c>
      <c r="Q157" s="21">
        <f>IFERROR('3. Monthly'!V157/'3. Monthly'!H157,"")</f>
        <v/>
      </c>
      <c r="R157" s="21">
        <f>IFERROR('3. Monthly'!W157/'3. Monthly'!H157,"")</f>
        <v/>
      </c>
      <c r="S157" s="4">
        <f>IF('3. Monthly'!X157="","",'3. Monthly'!X157)</f>
        <v/>
      </c>
    </row>
    <row r="158">
      <c r="A158" s="4">
        <f>IF('3. Monthly'!A158="","",'3. Monthly'!A158)</f>
        <v/>
      </c>
      <c r="B158" s="20">
        <f>IF('3. Monthly'!A158="","",'3. Monthly'!B158)</f>
        <v/>
      </c>
      <c r="C158" s="4">
        <f>IF('3. Monthly'!A158="","",'3. Monthly'!C158)</f>
        <v/>
      </c>
      <c r="D158" s="21">
        <f>IFERROR('3. Monthly'!D158/'3. Monthly'!E158,"")</f>
        <v/>
      </c>
      <c r="E158" s="21">
        <f>IFERROR('3. Monthly'!F158/'3. Monthly'!G158,"")</f>
        <v/>
      </c>
      <c r="F158" s="21">
        <f>IFERROR('3. Monthly'!H158/'3. Monthly'!I158,"")</f>
        <v/>
      </c>
      <c r="G158" s="4">
        <f>IF('3. Monthly'!J158="","",'3. Monthly'!J158)</f>
        <v/>
      </c>
      <c r="H158" s="4">
        <f>IFERROR('3. Monthly'!K158/'3. Monthly'!L158,"")</f>
        <v/>
      </c>
      <c r="I158" s="21">
        <f>IFERROR('3. Monthly'!M158/'3. Monthly'!K158,"")</f>
        <v/>
      </c>
      <c r="J158" s="4">
        <f>IF('3. Monthly'!N158="","",'3. Monthly'!N158)</f>
        <v/>
      </c>
      <c r="K158" s="21">
        <f>IFERROR(('3. Monthly'!O158-'3. Monthly'!P158)/'3. Monthly'!O158,"")</f>
        <v/>
      </c>
      <c r="L158" s="21">
        <f>IFERROR('3. Monthly'!Q158/'3. Monthly'!G158,"")</f>
        <v/>
      </c>
      <c r="M158" s="21">
        <f>IFERROR('3. Monthly'!R158/'3. Monthly'!F158,"")</f>
        <v/>
      </c>
      <c r="N158" s="21">
        <f>IF('3. Monthly'!S158="","",'3. Monthly'!S158)</f>
        <v/>
      </c>
      <c r="O158" s="4">
        <f>IF('3. Monthly'!T158="","",'3. Monthly'!T158)</f>
        <v/>
      </c>
      <c r="P158" s="21">
        <f>IFERROR('3. Monthly'!U158/'3. Monthly'!H158,"")</f>
        <v/>
      </c>
      <c r="Q158" s="21">
        <f>IFERROR('3. Monthly'!V158/'3. Monthly'!H158,"")</f>
        <v/>
      </c>
      <c r="R158" s="21">
        <f>IFERROR('3. Monthly'!W158/'3. Monthly'!H158,"")</f>
        <v/>
      </c>
      <c r="S158" s="4">
        <f>IF('3. Monthly'!X158="","",'3. Monthly'!X158)</f>
        <v/>
      </c>
    </row>
    <row r="159">
      <c r="A159" s="4">
        <f>IF('3. Monthly'!A159="","",'3. Monthly'!A159)</f>
        <v/>
      </c>
      <c r="B159" s="20">
        <f>IF('3. Monthly'!A159="","",'3. Monthly'!B159)</f>
        <v/>
      </c>
      <c r="C159" s="4">
        <f>IF('3. Monthly'!A159="","",'3. Monthly'!C159)</f>
        <v/>
      </c>
      <c r="D159" s="21">
        <f>IFERROR('3. Monthly'!D159/'3. Monthly'!E159,"")</f>
        <v/>
      </c>
      <c r="E159" s="21">
        <f>IFERROR('3. Monthly'!F159/'3. Monthly'!G159,"")</f>
        <v/>
      </c>
      <c r="F159" s="21">
        <f>IFERROR('3. Monthly'!H159/'3. Monthly'!I159,"")</f>
        <v/>
      </c>
      <c r="G159" s="4">
        <f>IF('3. Monthly'!J159="","",'3. Monthly'!J159)</f>
        <v/>
      </c>
      <c r="H159" s="4">
        <f>IFERROR('3. Monthly'!K159/'3. Monthly'!L159,"")</f>
        <v/>
      </c>
      <c r="I159" s="21">
        <f>IFERROR('3. Monthly'!M159/'3. Monthly'!K159,"")</f>
        <v/>
      </c>
      <c r="J159" s="4">
        <f>IF('3. Monthly'!N159="","",'3. Monthly'!N159)</f>
        <v/>
      </c>
      <c r="K159" s="21">
        <f>IFERROR(('3. Monthly'!O159-'3. Monthly'!P159)/'3. Monthly'!O159,"")</f>
        <v/>
      </c>
      <c r="L159" s="21">
        <f>IFERROR('3. Monthly'!Q159/'3. Monthly'!G159,"")</f>
        <v/>
      </c>
      <c r="M159" s="21">
        <f>IFERROR('3. Monthly'!R159/'3. Monthly'!F159,"")</f>
        <v/>
      </c>
      <c r="N159" s="21">
        <f>IF('3. Monthly'!S159="","",'3. Monthly'!S159)</f>
        <v/>
      </c>
      <c r="O159" s="4">
        <f>IF('3. Monthly'!T159="","",'3. Monthly'!T159)</f>
        <v/>
      </c>
      <c r="P159" s="21">
        <f>IFERROR('3. Monthly'!U159/'3. Monthly'!H159,"")</f>
        <v/>
      </c>
      <c r="Q159" s="21">
        <f>IFERROR('3. Monthly'!V159/'3. Monthly'!H159,"")</f>
        <v/>
      </c>
      <c r="R159" s="21">
        <f>IFERROR('3. Monthly'!W159/'3. Monthly'!H159,"")</f>
        <v/>
      </c>
      <c r="S159" s="4">
        <f>IF('3. Monthly'!X159="","",'3. Monthly'!X159)</f>
        <v/>
      </c>
    </row>
    <row r="160">
      <c r="A160" s="4">
        <f>IF('3. Monthly'!A160="","",'3. Monthly'!A160)</f>
        <v/>
      </c>
      <c r="B160" s="20">
        <f>IF('3. Monthly'!A160="","",'3. Monthly'!B160)</f>
        <v/>
      </c>
      <c r="C160" s="4">
        <f>IF('3. Monthly'!A160="","",'3. Monthly'!C160)</f>
        <v/>
      </c>
      <c r="D160" s="21">
        <f>IFERROR('3. Monthly'!D160/'3. Monthly'!E160,"")</f>
        <v/>
      </c>
      <c r="E160" s="21">
        <f>IFERROR('3. Monthly'!F160/'3. Monthly'!G160,"")</f>
        <v/>
      </c>
      <c r="F160" s="21">
        <f>IFERROR('3. Monthly'!H160/'3. Monthly'!I160,"")</f>
        <v/>
      </c>
      <c r="G160" s="4">
        <f>IF('3. Monthly'!J160="","",'3. Monthly'!J160)</f>
        <v/>
      </c>
      <c r="H160" s="4">
        <f>IFERROR('3. Monthly'!K160/'3. Monthly'!L160,"")</f>
        <v/>
      </c>
      <c r="I160" s="21">
        <f>IFERROR('3. Monthly'!M160/'3. Monthly'!K160,"")</f>
        <v/>
      </c>
      <c r="J160" s="4">
        <f>IF('3. Monthly'!N160="","",'3. Monthly'!N160)</f>
        <v/>
      </c>
      <c r="K160" s="21">
        <f>IFERROR(('3. Monthly'!O160-'3. Monthly'!P160)/'3. Monthly'!O160,"")</f>
        <v/>
      </c>
      <c r="L160" s="21">
        <f>IFERROR('3. Monthly'!Q160/'3. Monthly'!G160,"")</f>
        <v/>
      </c>
      <c r="M160" s="21">
        <f>IFERROR('3. Monthly'!R160/'3. Monthly'!F160,"")</f>
        <v/>
      </c>
      <c r="N160" s="21">
        <f>IF('3. Monthly'!S160="","",'3. Monthly'!S160)</f>
        <v/>
      </c>
      <c r="O160" s="4">
        <f>IF('3. Monthly'!T160="","",'3. Monthly'!T160)</f>
        <v/>
      </c>
      <c r="P160" s="21">
        <f>IFERROR('3. Monthly'!U160/'3. Monthly'!H160,"")</f>
        <v/>
      </c>
      <c r="Q160" s="21">
        <f>IFERROR('3. Monthly'!V160/'3. Monthly'!H160,"")</f>
        <v/>
      </c>
      <c r="R160" s="21">
        <f>IFERROR('3. Monthly'!W160/'3. Monthly'!H160,"")</f>
        <v/>
      </c>
      <c r="S160" s="4">
        <f>IF('3. Monthly'!X160="","",'3. Monthly'!X160)</f>
        <v/>
      </c>
    </row>
    <row r="161">
      <c r="A161" s="4">
        <f>IF('3. Monthly'!A161="","",'3. Monthly'!A161)</f>
        <v/>
      </c>
      <c r="B161" s="20">
        <f>IF('3. Monthly'!A161="","",'3. Monthly'!B161)</f>
        <v/>
      </c>
      <c r="C161" s="4">
        <f>IF('3. Monthly'!A161="","",'3. Monthly'!C161)</f>
        <v/>
      </c>
      <c r="D161" s="21">
        <f>IFERROR('3. Monthly'!D161/'3. Monthly'!E161,"")</f>
        <v/>
      </c>
      <c r="E161" s="21">
        <f>IFERROR('3. Monthly'!F161/'3. Monthly'!G161,"")</f>
        <v/>
      </c>
      <c r="F161" s="21">
        <f>IFERROR('3. Monthly'!H161/'3. Monthly'!I161,"")</f>
        <v/>
      </c>
      <c r="G161" s="4">
        <f>IF('3. Monthly'!J161="","",'3. Monthly'!J161)</f>
        <v/>
      </c>
      <c r="H161" s="4">
        <f>IFERROR('3. Monthly'!K161/'3. Monthly'!L161,"")</f>
        <v/>
      </c>
      <c r="I161" s="21">
        <f>IFERROR('3. Monthly'!M161/'3. Monthly'!K161,"")</f>
        <v/>
      </c>
      <c r="J161" s="4">
        <f>IF('3. Monthly'!N161="","",'3. Monthly'!N161)</f>
        <v/>
      </c>
      <c r="K161" s="21">
        <f>IFERROR(('3. Monthly'!O161-'3. Monthly'!P161)/'3. Monthly'!O161,"")</f>
        <v/>
      </c>
      <c r="L161" s="21">
        <f>IFERROR('3. Monthly'!Q161/'3. Monthly'!G161,"")</f>
        <v/>
      </c>
      <c r="M161" s="21">
        <f>IFERROR('3. Monthly'!R161/'3. Monthly'!F161,"")</f>
        <v/>
      </c>
      <c r="N161" s="21">
        <f>IF('3. Monthly'!S161="","",'3. Monthly'!S161)</f>
        <v/>
      </c>
      <c r="O161" s="4">
        <f>IF('3. Monthly'!T161="","",'3. Monthly'!T161)</f>
        <v/>
      </c>
      <c r="P161" s="21">
        <f>IFERROR('3. Monthly'!U161/'3. Monthly'!H161,"")</f>
        <v/>
      </c>
      <c r="Q161" s="21">
        <f>IFERROR('3. Monthly'!V161/'3. Monthly'!H161,"")</f>
        <v/>
      </c>
      <c r="R161" s="21">
        <f>IFERROR('3. Monthly'!W161/'3. Monthly'!H161,"")</f>
        <v/>
      </c>
      <c r="S161" s="4">
        <f>IF('3. Monthly'!X161="","",'3. Monthly'!X161)</f>
        <v/>
      </c>
    </row>
    <row r="162">
      <c r="A162" s="4">
        <f>IF('3. Monthly'!A162="","",'3. Monthly'!A162)</f>
        <v/>
      </c>
      <c r="B162" s="20">
        <f>IF('3. Monthly'!A162="","",'3. Monthly'!B162)</f>
        <v/>
      </c>
      <c r="C162" s="4">
        <f>IF('3. Monthly'!A162="","",'3. Monthly'!C162)</f>
        <v/>
      </c>
      <c r="D162" s="21">
        <f>IFERROR('3. Monthly'!D162/'3. Monthly'!E162,"")</f>
        <v/>
      </c>
      <c r="E162" s="21">
        <f>IFERROR('3. Monthly'!F162/'3. Monthly'!G162,"")</f>
        <v/>
      </c>
      <c r="F162" s="21">
        <f>IFERROR('3. Monthly'!H162/'3. Monthly'!I162,"")</f>
        <v/>
      </c>
      <c r="G162" s="4">
        <f>IF('3. Monthly'!J162="","",'3. Monthly'!J162)</f>
        <v/>
      </c>
      <c r="H162" s="4">
        <f>IFERROR('3. Monthly'!K162/'3. Monthly'!L162,"")</f>
        <v/>
      </c>
      <c r="I162" s="21">
        <f>IFERROR('3. Monthly'!M162/'3. Monthly'!K162,"")</f>
        <v/>
      </c>
      <c r="J162" s="4">
        <f>IF('3. Monthly'!N162="","",'3. Monthly'!N162)</f>
        <v/>
      </c>
      <c r="K162" s="21">
        <f>IFERROR(('3. Monthly'!O162-'3. Monthly'!P162)/'3. Monthly'!O162,"")</f>
        <v/>
      </c>
      <c r="L162" s="21">
        <f>IFERROR('3. Monthly'!Q162/'3. Monthly'!G162,"")</f>
        <v/>
      </c>
      <c r="M162" s="21">
        <f>IFERROR('3. Monthly'!R162/'3. Monthly'!F162,"")</f>
        <v/>
      </c>
      <c r="N162" s="21">
        <f>IF('3. Monthly'!S162="","",'3. Monthly'!S162)</f>
        <v/>
      </c>
      <c r="O162" s="4">
        <f>IF('3. Monthly'!T162="","",'3. Monthly'!T162)</f>
        <v/>
      </c>
      <c r="P162" s="21">
        <f>IFERROR('3. Monthly'!U162/'3. Monthly'!H162,"")</f>
        <v/>
      </c>
      <c r="Q162" s="21">
        <f>IFERROR('3. Monthly'!V162/'3. Monthly'!H162,"")</f>
        <v/>
      </c>
      <c r="R162" s="21">
        <f>IFERROR('3. Monthly'!W162/'3. Monthly'!H162,"")</f>
        <v/>
      </c>
      <c r="S162" s="4">
        <f>IF('3. Monthly'!X162="","",'3. Monthly'!X162)</f>
        <v/>
      </c>
    </row>
    <row r="163">
      <c r="A163" s="4">
        <f>IF('3. Monthly'!A163="","",'3. Monthly'!A163)</f>
        <v/>
      </c>
      <c r="B163" s="20">
        <f>IF('3. Monthly'!A163="","",'3. Monthly'!B163)</f>
        <v/>
      </c>
      <c r="C163" s="4">
        <f>IF('3. Monthly'!A163="","",'3. Monthly'!C163)</f>
        <v/>
      </c>
      <c r="D163" s="21">
        <f>IFERROR('3. Monthly'!D163/'3. Monthly'!E163,"")</f>
        <v/>
      </c>
      <c r="E163" s="21">
        <f>IFERROR('3. Monthly'!F163/'3. Monthly'!G163,"")</f>
        <v/>
      </c>
      <c r="F163" s="21">
        <f>IFERROR('3. Monthly'!H163/'3. Monthly'!I163,"")</f>
        <v/>
      </c>
      <c r="G163" s="4">
        <f>IF('3. Monthly'!J163="","",'3. Monthly'!J163)</f>
        <v/>
      </c>
      <c r="H163" s="4">
        <f>IFERROR('3. Monthly'!K163/'3. Monthly'!L163,"")</f>
        <v/>
      </c>
      <c r="I163" s="21">
        <f>IFERROR('3. Monthly'!M163/'3. Monthly'!K163,"")</f>
        <v/>
      </c>
      <c r="J163" s="4">
        <f>IF('3. Monthly'!N163="","",'3. Monthly'!N163)</f>
        <v/>
      </c>
      <c r="K163" s="21">
        <f>IFERROR(('3. Monthly'!O163-'3. Monthly'!P163)/'3. Monthly'!O163,"")</f>
        <v/>
      </c>
      <c r="L163" s="21">
        <f>IFERROR('3. Monthly'!Q163/'3. Monthly'!G163,"")</f>
        <v/>
      </c>
      <c r="M163" s="21">
        <f>IFERROR('3. Monthly'!R163/'3. Monthly'!F163,"")</f>
        <v/>
      </c>
      <c r="N163" s="21">
        <f>IF('3. Monthly'!S163="","",'3. Monthly'!S163)</f>
        <v/>
      </c>
      <c r="O163" s="4">
        <f>IF('3. Monthly'!T163="","",'3. Monthly'!T163)</f>
        <v/>
      </c>
      <c r="P163" s="21">
        <f>IFERROR('3. Monthly'!U163/'3. Monthly'!H163,"")</f>
        <v/>
      </c>
      <c r="Q163" s="21">
        <f>IFERROR('3. Monthly'!V163/'3. Monthly'!H163,"")</f>
        <v/>
      </c>
      <c r="R163" s="21">
        <f>IFERROR('3. Monthly'!W163/'3. Monthly'!H163,"")</f>
        <v/>
      </c>
      <c r="S163" s="4">
        <f>IF('3. Monthly'!X163="","",'3. Monthly'!X163)</f>
        <v/>
      </c>
    </row>
    <row r="164">
      <c r="A164" s="4">
        <f>IF('3. Monthly'!A164="","",'3. Monthly'!A164)</f>
        <v/>
      </c>
      <c r="B164" s="20">
        <f>IF('3. Monthly'!A164="","",'3. Monthly'!B164)</f>
        <v/>
      </c>
      <c r="C164" s="4">
        <f>IF('3. Monthly'!A164="","",'3. Monthly'!C164)</f>
        <v/>
      </c>
      <c r="D164" s="21">
        <f>IFERROR('3. Monthly'!D164/'3. Monthly'!E164,"")</f>
        <v/>
      </c>
      <c r="E164" s="21">
        <f>IFERROR('3. Monthly'!F164/'3. Monthly'!G164,"")</f>
        <v/>
      </c>
      <c r="F164" s="21">
        <f>IFERROR('3. Monthly'!H164/'3. Monthly'!I164,"")</f>
        <v/>
      </c>
      <c r="G164" s="4">
        <f>IF('3. Monthly'!J164="","",'3. Monthly'!J164)</f>
        <v/>
      </c>
      <c r="H164" s="4">
        <f>IFERROR('3. Monthly'!K164/'3. Monthly'!L164,"")</f>
        <v/>
      </c>
      <c r="I164" s="21">
        <f>IFERROR('3. Monthly'!M164/'3. Monthly'!K164,"")</f>
        <v/>
      </c>
      <c r="J164" s="4">
        <f>IF('3. Monthly'!N164="","",'3. Monthly'!N164)</f>
        <v/>
      </c>
      <c r="K164" s="21">
        <f>IFERROR(('3. Monthly'!O164-'3. Monthly'!P164)/'3. Monthly'!O164,"")</f>
        <v/>
      </c>
      <c r="L164" s="21">
        <f>IFERROR('3. Monthly'!Q164/'3. Monthly'!G164,"")</f>
        <v/>
      </c>
      <c r="M164" s="21">
        <f>IFERROR('3. Monthly'!R164/'3. Monthly'!F164,"")</f>
        <v/>
      </c>
      <c r="N164" s="21">
        <f>IF('3. Monthly'!S164="","",'3. Monthly'!S164)</f>
        <v/>
      </c>
      <c r="O164" s="4">
        <f>IF('3. Monthly'!T164="","",'3. Monthly'!T164)</f>
        <v/>
      </c>
      <c r="P164" s="21">
        <f>IFERROR('3. Monthly'!U164/'3. Monthly'!H164,"")</f>
        <v/>
      </c>
      <c r="Q164" s="21">
        <f>IFERROR('3. Monthly'!V164/'3. Monthly'!H164,"")</f>
        <v/>
      </c>
      <c r="R164" s="21">
        <f>IFERROR('3. Monthly'!W164/'3. Monthly'!H164,"")</f>
        <v/>
      </c>
      <c r="S164" s="4">
        <f>IF('3. Monthly'!X164="","",'3. Monthly'!X164)</f>
        <v/>
      </c>
    </row>
    <row r="165">
      <c r="A165" s="4">
        <f>IF('3. Monthly'!A165="","",'3. Monthly'!A165)</f>
        <v/>
      </c>
      <c r="B165" s="20">
        <f>IF('3. Monthly'!A165="","",'3. Monthly'!B165)</f>
        <v/>
      </c>
      <c r="C165" s="4">
        <f>IF('3. Monthly'!A165="","",'3. Monthly'!C165)</f>
        <v/>
      </c>
      <c r="D165" s="21">
        <f>IFERROR('3. Monthly'!D165/'3. Monthly'!E165,"")</f>
        <v/>
      </c>
      <c r="E165" s="21">
        <f>IFERROR('3. Monthly'!F165/'3. Monthly'!G165,"")</f>
        <v/>
      </c>
      <c r="F165" s="21">
        <f>IFERROR('3. Monthly'!H165/'3. Monthly'!I165,"")</f>
        <v/>
      </c>
      <c r="G165" s="4">
        <f>IF('3. Monthly'!J165="","",'3. Monthly'!J165)</f>
        <v/>
      </c>
      <c r="H165" s="4">
        <f>IFERROR('3. Monthly'!K165/'3. Monthly'!L165,"")</f>
        <v/>
      </c>
      <c r="I165" s="21">
        <f>IFERROR('3. Monthly'!M165/'3. Monthly'!K165,"")</f>
        <v/>
      </c>
      <c r="J165" s="4">
        <f>IF('3. Monthly'!N165="","",'3. Monthly'!N165)</f>
        <v/>
      </c>
      <c r="K165" s="21">
        <f>IFERROR(('3. Monthly'!O165-'3. Monthly'!P165)/'3. Monthly'!O165,"")</f>
        <v/>
      </c>
      <c r="L165" s="21">
        <f>IFERROR('3. Monthly'!Q165/'3. Monthly'!G165,"")</f>
        <v/>
      </c>
      <c r="M165" s="21">
        <f>IFERROR('3. Monthly'!R165/'3. Monthly'!F165,"")</f>
        <v/>
      </c>
      <c r="N165" s="21">
        <f>IF('3. Monthly'!S165="","",'3. Monthly'!S165)</f>
        <v/>
      </c>
      <c r="O165" s="4">
        <f>IF('3. Monthly'!T165="","",'3. Monthly'!T165)</f>
        <v/>
      </c>
      <c r="P165" s="21">
        <f>IFERROR('3. Monthly'!U165/'3. Monthly'!H165,"")</f>
        <v/>
      </c>
      <c r="Q165" s="21">
        <f>IFERROR('3. Monthly'!V165/'3. Monthly'!H165,"")</f>
        <v/>
      </c>
      <c r="R165" s="21">
        <f>IFERROR('3. Monthly'!W165/'3. Monthly'!H165,"")</f>
        <v/>
      </c>
      <c r="S165" s="4">
        <f>IF('3. Monthly'!X165="","",'3. Monthly'!X165)</f>
        <v/>
      </c>
    </row>
    <row r="166">
      <c r="A166" s="4">
        <f>IF('3. Monthly'!A166="","",'3. Monthly'!A166)</f>
        <v/>
      </c>
      <c r="B166" s="20">
        <f>IF('3. Monthly'!A166="","",'3. Monthly'!B166)</f>
        <v/>
      </c>
      <c r="C166" s="4">
        <f>IF('3. Monthly'!A166="","",'3. Monthly'!C166)</f>
        <v/>
      </c>
      <c r="D166" s="21">
        <f>IFERROR('3. Monthly'!D166/'3. Monthly'!E166,"")</f>
        <v/>
      </c>
      <c r="E166" s="21">
        <f>IFERROR('3. Monthly'!F166/'3. Monthly'!G166,"")</f>
        <v/>
      </c>
      <c r="F166" s="21">
        <f>IFERROR('3. Monthly'!H166/'3. Monthly'!I166,"")</f>
        <v/>
      </c>
      <c r="G166" s="4">
        <f>IF('3. Monthly'!J166="","",'3. Monthly'!J166)</f>
        <v/>
      </c>
      <c r="H166" s="4">
        <f>IFERROR('3. Monthly'!K166/'3. Monthly'!L166,"")</f>
        <v/>
      </c>
      <c r="I166" s="21">
        <f>IFERROR('3. Monthly'!M166/'3. Monthly'!K166,"")</f>
        <v/>
      </c>
      <c r="J166" s="4">
        <f>IF('3. Monthly'!N166="","",'3. Monthly'!N166)</f>
        <v/>
      </c>
      <c r="K166" s="21">
        <f>IFERROR(('3. Monthly'!O166-'3. Monthly'!P166)/'3. Monthly'!O166,"")</f>
        <v/>
      </c>
      <c r="L166" s="21">
        <f>IFERROR('3. Monthly'!Q166/'3. Monthly'!G166,"")</f>
        <v/>
      </c>
      <c r="M166" s="21">
        <f>IFERROR('3. Monthly'!R166/'3. Monthly'!F166,"")</f>
        <v/>
      </c>
      <c r="N166" s="21">
        <f>IF('3. Monthly'!S166="","",'3. Monthly'!S166)</f>
        <v/>
      </c>
      <c r="O166" s="4">
        <f>IF('3. Monthly'!T166="","",'3. Monthly'!T166)</f>
        <v/>
      </c>
      <c r="P166" s="21">
        <f>IFERROR('3. Monthly'!U166/'3. Monthly'!H166,"")</f>
        <v/>
      </c>
      <c r="Q166" s="21">
        <f>IFERROR('3. Monthly'!V166/'3. Monthly'!H166,"")</f>
        <v/>
      </c>
      <c r="R166" s="21">
        <f>IFERROR('3. Monthly'!W166/'3. Monthly'!H166,"")</f>
        <v/>
      </c>
      <c r="S166" s="4">
        <f>IF('3. Monthly'!X166="","",'3. Monthly'!X166)</f>
        <v/>
      </c>
    </row>
    <row r="167">
      <c r="A167" s="4">
        <f>IF('3. Monthly'!A167="","",'3. Monthly'!A167)</f>
        <v/>
      </c>
      <c r="B167" s="20">
        <f>IF('3. Monthly'!A167="","",'3. Monthly'!B167)</f>
        <v/>
      </c>
      <c r="C167" s="4">
        <f>IF('3. Monthly'!A167="","",'3. Monthly'!C167)</f>
        <v/>
      </c>
      <c r="D167" s="21">
        <f>IFERROR('3. Monthly'!D167/'3. Monthly'!E167,"")</f>
        <v/>
      </c>
      <c r="E167" s="21">
        <f>IFERROR('3. Monthly'!F167/'3. Monthly'!G167,"")</f>
        <v/>
      </c>
      <c r="F167" s="21">
        <f>IFERROR('3. Monthly'!H167/'3. Monthly'!I167,"")</f>
        <v/>
      </c>
      <c r="G167" s="4">
        <f>IF('3. Monthly'!J167="","",'3. Monthly'!J167)</f>
        <v/>
      </c>
      <c r="H167" s="4">
        <f>IFERROR('3. Monthly'!K167/'3. Monthly'!L167,"")</f>
        <v/>
      </c>
      <c r="I167" s="21">
        <f>IFERROR('3. Monthly'!M167/'3. Monthly'!K167,"")</f>
        <v/>
      </c>
      <c r="J167" s="4">
        <f>IF('3. Monthly'!N167="","",'3. Monthly'!N167)</f>
        <v/>
      </c>
      <c r="K167" s="21">
        <f>IFERROR(('3. Monthly'!O167-'3. Monthly'!P167)/'3. Monthly'!O167,"")</f>
        <v/>
      </c>
      <c r="L167" s="21">
        <f>IFERROR('3. Monthly'!Q167/'3. Monthly'!G167,"")</f>
        <v/>
      </c>
      <c r="M167" s="21">
        <f>IFERROR('3. Monthly'!R167/'3. Monthly'!F167,"")</f>
        <v/>
      </c>
      <c r="N167" s="21">
        <f>IF('3. Monthly'!S167="","",'3. Monthly'!S167)</f>
        <v/>
      </c>
      <c r="O167" s="4">
        <f>IF('3. Monthly'!T167="","",'3. Monthly'!T167)</f>
        <v/>
      </c>
      <c r="P167" s="21">
        <f>IFERROR('3. Monthly'!U167/'3. Monthly'!H167,"")</f>
        <v/>
      </c>
      <c r="Q167" s="21">
        <f>IFERROR('3. Monthly'!V167/'3. Monthly'!H167,"")</f>
        <v/>
      </c>
      <c r="R167" s="21">
        <f>IFERROR('3. Monthly'!W167/'3. Monthly'!H167,"")</f>
        <v/>
      </c>
      <c r="S167" s="4">
        <f>IF('3. Monthly'!X167="","",'3. Monthly'!X167)</f>
        <v/>
      </c>
    </row>
    <row r="168">
      <c r="A168" s="4">
        <f>IF('3. Monthly'!A168="","",'3. Monthly'!A168)</f>
        <v/>
      </c>
      <c r="B168" s="20">
        <f>IF('3. Monthly'!A168="","",'3. Monthly'!B168)</f>
        <v/>
      </c>
      <c r="C168" s="4">
        <f>IF('3. Monthly'!A168="","",'3. Monthly'!C168)</f>
        <v/>
      </c>
      <c r="D168" s="21">
        <f>IFERROR('3. Monthly'!D168/'3. Monthly'!E168,"")</f>
        <v/>
      </c>
      <c r="E168" s="21">
        <f>IFERROR('3. Monthly'!F168/'3. Monthly'!G168,"")</f>
        <v/>
      </c>
      <c r="F168" s="21">
        <f>IFERROR('3. Monthly'!H168/'3. Monthly'!I168,"")</f>
        <v/>
      </c>
      <c r="G168" s="4">
        <f>IF('3. Monthly'!J168="","",'3. Monthly'!J168)</f>
        <v/>
      </c>
      <c r="H168" s="4">
        <f>IFERROR('3. Monthly'!K168/'3. Monthly'!L168,"")</f>
        <v/>
      </c>
      <c r="I168" s="21">
        <f>IFERROR('3. Monthly'!M168/'3. Monthly'!K168,"")</f>
        <v/>
      </c>
      <c r="J168" s="4">
        <f>IF('3. Monthly'!N168="","",'3. Monthly'!N168)</f>
        <v/>
      </c>
      <c r="K168" s="21">
        <f>IFERROR(('3. Monthly'!O168-'3. Monthly'!P168)/'3. Monthly'!O168,"")</f>
        <v/>
      </c>
      <c r="L168" s="21">
        <f>IFERROR('3. Monthly'!Q168/'3. Monthly'!G168,"")</f>
        <v/>
      </c>
      <c r="M168" s="21">
        <f>IFERROR('3. Monthly'!R168/'3. Monthly'!F168,"")</f>
        <v/>
      </c>
      <c r="N168" s="21">
        <f>IF('3. Monthly'!S168="","",'3. Monthly'!S168)</f>
        <v/>
      </c>
      <c r="O168" s="4">
        <f>IF('3. Monthly'!T168="","",'3. Monthly'!T168)</f>
        <v/>
      </c>
      <c r="P168" s="21">
        <f>IFERROR('3. Monthly'!U168/'3. Monthly'!H168,"")</f>
        <v/>
      </c>
      <c r="Q168" s="21">
        <f>IFERROR('3. Monthly'!V168/'3. Monthly'!H168,"")</f>
        <v/>
      </c>
      <c r="R168" s="21">
        <f>IFERROR('3. Monthly'!W168/'3. Monthly'!H168,"")</f>
        <v/>
      </c>
      <c r="S168" s="4">
        <f>IF('3. Monthly'!X168="","",'3. Monthly'!X168)</f>
        <v/>
      </c>
    </row>
    <row r="169">
      <c r="A169" s="4">
        <f>IF('3. Monthly'!A169="","",'3. Monthly'!A169)</f>
        <v/>
      </c>
      <c r="B169" s="20">
        <f>IF('3. Monthly'!A169="","",'3. Monthly'!B169)</f>
        <v/>
      </c>
      <c r="C169" s="4">
        <f>IF('3. Monthly'!A169="","",'3. Monthly'!C169)</f>
        <v/>
      </c>
      <c r="D169" s="21">
        <f>IFERROR('3. Monthly'!D169/'3. Monthly'!E169,"")</f>
        <v/>
      </c>
      <c r="E169" s="21">
        <f>IFERROR('3. Monthly'!F169/'3. Monthly'!G169,"")</f>
        <v/>
      </c>
      <c r="F169" s="21">
        <f>IFERROR('3. Monthly'!H169/'3. Monthly'!I169,"")</f>
        <v/>
      </c>
      <c r="G169" s="4">
        <f>IF('3. Monthly'!J169="","",'3. Monthly'!J169)</f>
        <v/>
      </c>
      <c r="H169" s="4">
        <f>IFERROR('3. Monthly'!K169/'3. Monthly'!L169,"")</f>
        <v/>
      </c>
      <c r="I169" s="21">
        <f>IFERROR('3. Monthly'!M169/'3. Monthly'!K169,"")</f>
        <v/>
      </c>
      <c r="J169" s="4">
        <f>IF('3. Monthly'!N169="","",'3. Monthly'!N169)</f>
        <v/>
      </c>
      <c r="K169" s="21">
        <f>IFERROR(('3. Monthly'!O169-'3. Monthly'!P169)/'3. Monthly'!O169,"")</f>
        <v/>
      </c>
      <c r="L169" s="21">
        <f>IFERROR('3. Monthly'!Q169/'3. Monthly'!G169,"")</f>
        <v/>
      </c>
      <c r="M169" s="21">
        <f>IFERROR('3. Monthly'!R169/'3. Monthly'!F169,"")</f>
        <v/>
      </c>
      <c r="N169" s="21">
        <f>IF('3. Monthly'!S169="","",'3. Monthly'!S169)</f>
        <v/>
      </c>
      <c r="O169" s="4">
        <f>IF('3. Monthly'!T169="","",'3. Monthly'!T169)</f>
        <v/>
      </c>
      <c r="P169" s="21">
        <f>IFERROR('3. Monthly'!U169/'3. Monthly'!H169,"")</f>
        <v/>
      </c>
      <c r="Q169" s="21">
        <f>IFERROR('3. Monthly'!V169/'3. Monthly'!H169,"")</f>
        <v/>
      </c>
      <c r="R169" s="21">
        <f>IFERROR('3. Monthly'!W169/'3. Monthly'!H169,"")</f>
        <v/>
      </c>
      <c r="S169" s="4">
        <f>IF('3. Monthly'!X169="","",'3. Monthly'!X169)</f>
        <v/>
      </c>
    </row>
    <row r="170">
      <c r="A170" s="4">
        <f>IF('3. Monthly'!A170="","",'3. Monthly'!A170)</f>
        <v/>
      </c>
      <c r="B170" s="20">
        <f>IF('3. Monthly'!A170="","",'3. Monthly'!B170)</f>
        <v/>
      </c>
      <c r="C170" s="4">
        <f>IF('3. Monthly'!A170="","",'3. Monthly'!C170)</f>
        <v/>
      </c>
      <c r="D170" s="21">
        <f>IFERROR('3. Monthly'!D170/'3. Monthly'!E170,"")</f>
        <v/>
      </c>
      <c r="E170" s="21">
        <f>IFERROR('3. Monthly'!F170/'3. Monthly'!G170,"")</f>
        <v/>
      </c>
      <c r="F170" s="21">
        <f>IFERROR('3. Monthly'!H170/'3. Monthly'!I170,"")</f>
        <v/>
      </c>
      <c r="G170" s="4">
        <f>IF('3. Monthly'!J170="","",'3. Monthly'!J170)</f>
        <v/>
      </c>
      <c r="H170" s="4">
        <f>IFERROR('3. Monthly'!K170/'3. Monthly'!L170,"")</f>
        <v/>
      </c>
      <c r="I170" s="21">
        <f>IFERROR('3. Monthly'!M170/'3. Monthly'!K170,"")</f>
        <v/>
      </c>
      <c r="J170" s="4">
        <f>IF('3. Monthly'!N170="","",'3. Monthly'!N170)</f>
        <v/>
      </c>
      <c r="K170" s="21">
        <f>IFERROR(('3. Monthly'!O170-'3. Monthly'!P170)/'3. Monthly'!O170,"")</f>
        <v/>
      </c>
      <c r="L170" s="21">
        <f>IFERROR('3. Monthly'!Q170/'3. Monthly'!G170,"")</f>
        <v/>
      </c>
      <c r="M170" s="21">
        <f>IFERROR('3. Monthly'!R170/'3. Monthly'!F170,"")</f>
        <v/>
      </c>
      <c r="N170" s="21">
        <f>IF('3. Monthly'!S170="","",'3. Monthly'!S170)</f>
        <v/>
      </c>
      <c r="O170" s="4">
        <f>IF('3. Monthly'!T170="","",'3. Monthly'!T170)</f>
        <v/>
      </c>
      <c r="P170" s="21">
        <f>IFERROR('3. Monthly'!U170/'3. Monthly'!H170,"")</f>
        <v/>
      </c>
      <c r="Q170" s="21">
        <f>IFERROR('3. Monthly'!V170/'3. Monthly'!H170,"")</f>
        <v/>
      </c>
      <c r="R170" s="21">
        <f>IFERROR('3. Monthly'!W170/'3. Monthly'!H170,"")</f>
        <v/>
      </c>
      <c r="S170" s="4">
        <f>IF('3. Monthly'!X170="","",'3. Monthly'!X170)</f>
        <v/>
      </c>
    </row>
    <row r="171">
      <c r="A171" s="4">
        <f>IF('3. Monthly'!A171="","",'3. Monthly'!A171)</f>
        <v/>
      </c>
      <c r="B171" s="20">
        <f>IF('3. Monthly'!A171="","",'3. Monthly'!B171)</f>
        <v/>
      </c>
      <c r="C171" s="4">
        <f>IF('3. Monthly'!A171="","",'3. Monthly'!C171)</f>
        <v/>
      </c>
      <c r="D171" s="21">
        <f>IFERROR('3. Monthly'!D171/'3. Monthly'!E171,"")</f>
        <v/>
      </c>
      <c r="E171" s="21">
        <f>IFERROR('3. Monthly'!F171/'3. Monthly'!G171,"")</f>
        <v/>
      </c>
      <c r="F171" s="21">
        <f>IFERROR('3. Monthly'!H171/'3. Monthly'!I171,"")</f>
        <v/>
      </c>
      <c r="G171" s="4">
        <f>IF('3. Monthly'!J171="","",'3. Monthly'!J171)</f>
        <v/>
      </c>
      <c r="H171" s="4">
        <f>IFERROR('3. Monthly'!K171/'3. Monthly'!L171,"")</f>
        <v/>
      </c>
      <c r="I171" s="21">
        <f>IFERROR('3. Monthly'!M171/'3. Monthly'!K171,"")</f>
        <v/>
      </c>
      <c r="J171" s="4">
        <f>IF('3. Monthly'!N171="","",'3. Monthly'!N171)</f>
        <v/>
      </c>
      <c r="K171" s="21">
        <f>IFERROR(('3. Monthly'!O171-'3. Monthly'!P171)/'3. Monthly'!O171,"")</f>
        <v/>
      </c>
      <c r="L171" s="21">
        <f>IFERROR('3. Monthly'!Q171/'3. Monthly'!G171,"")</f>
        <v/>
      </c>
      <c r="M171" s="21">
        <f>IFERROR('3. Monthly'!R171/'3. Monthly'!F171,"")</f>
        <v/>
      </c>
      <c r="N171" s="21">
        <f>IF('3. Monthly'!S171="","",'3. Monthly'!S171)</f>
        <v/>
      </c>
      <c r="O171" s="4">
        <f>IF('3. Monthly'!T171="","",'3. Monthly'!T171)</f>
        <v/>
      </c>
      <c r="P171" s="21">
        <f>IFERROR('3. Monthly'!U171/'3. Monthly'!H171,"")</f>
        <v/>
      </c>
      <c r="Q171" s="21">
        <f>IFERROR('3. Monthly'!V171/'3. Monthly'!H171,"")</f>
        <v/>
      </c>
      <c r="R171" s="21">
        <f>IFERROR('3. Monthly'!W171/'3. Monthly'!H171,"")</f>
        <v/>
      </c>
      <c r="S171" s="4">
        <f>IF('3. Monthly'!X171="","",'3. Monthly'!X171)</f>
        <v/>
      </c>
    </row>
    <row r="172">
      <c r="A172" s="4">
        <f>IF('3. Monthly'!A172="","",'3. Monthly'!A172)</f>
        <v/>
      </c>
      <c r="B172" s="20">
        <f>IF('3. Monthly'!A172="","",'3. Monthly'!B172)</f>
        <v/>
      </c>
      <c r="C172" s="4">
        <f>IF('3. Monthly'!A172="","",'3. Monthly'!C172)</f>
        <v/>
      </c>
      <c r="D172" s="21">
        <f>IFERROR('3. Monthly'!D172/'3. Monthly'!E172,"")</f>
        <v/>
      </c>
      <c r="E172" s="21">
        <f>IFERROR('3. Monthly'!F172/'3. Monthly'!G172,"")</f>
        <v/>
      </c>
      <c r="F172" s="21">
        <f>IFERROR('3. Monthly'!H172/'3. Monthly'!I172,"")</f>
        <v/>
      </c>
      <c r="G172" s="4">
        <f>IF('3. Monthly'!J172="","",'3. Monthly'!J172)</f>
        <v/>
      </c>
      <c r="H172" s="4">
        <f>IFERROR('3. Monthly'!K172/'3. Monthly'!L172,"")</f>
        <v/>
      </c>
      <c r="I172" s="21">
        <f>IFERROR('3. Monthly'!M172/'3. Monthly'!K172,"")</f>
        <v/>
      </c>
      <c r="J172" s="4">
        <f>IF('3. Monthly'!N172="","",'3. Monthly'!N172)</f>
        <v/>
      </c>
      <c r="K172" s="21">
        <f>IFERROR(('3. Monthly'!O172-'3. Monthly'!P172)/'3. Monthly'!O172,"")</f>
        <v/>
      </c>
      <c r="L172" s="21">
        <f>IFERROR('3. Monthly'!Q172/'3. Monthly'!G172,"")</f>
        <v/>
      </c>
      <c r="M172" s="21">
        <f>IFERROR('3. Monthly'!R172/'3. Monthly'!F172,"")</f>
        <v/>
      </c>
      <c r="N172" s="21">
        <f>IF('3. Monthly'!S172="","",'3. Monthly'!S172)</f>
        <v/>
      </c>
      <c r="O172" s="4">
        <f>IF('3. Monthly'!T172="","",'3. Monthly'!T172)</f>
        <v/>
      </c>
      <c r="P172" s="21">
        <f>IFERROR('3. Monthly'!U172/'3. Monthly'!H172,"")</f>
        <v/>
      </c>
      <c r="Q172" s="21">
        <f>IFERROR('3. Monthly'!V172/'3. Monthly'!H172,"")</f>
        <v/>
      </c>
      <c r="R172" s="21">
        <f>IFERROR('3. Monthly'!W172/'3. Monthly'!H172,"")</f>
        <v/>
      </c>
      <c r="S172" s="4">
        <f>IF('3. Monthly'!X172="","",'3. Monthly'!X172)</f>
        <v/>
      </c>
    </row>
    <row r="173">
      <c r="A173" s="4">
        <f>IF('3. Monthly'!A173="","",'3. Monthly'!A173)</f>
        <v/>
      </c>
      <c r="B173" s="20">
        <f>IF('3. Monthly'!A173="","",'3. Monthly'!B173)</f>
        <v/>
      </c>
      <c r="C173" s="4">
        <f>IF('3. Monthly'!A173="","",'3. Monthly'!C173)</f>
        <v/>
      </c>
      <c r="D173" s="21">
        <f>IFERROR('3. Monthly'!D173/'3. Monthly'!E173,"")</f>
        <v/>
      </c>
      <c r="E173" s="21">
        <f>IFERROR('3. Monthly'!F173/'3. Monthly'!G173,"")</f>
        <v/>
      </c>
      <c r="F173" s="21">
        <f>IFERROR('3. Monthly'!H173/'3. Monthly'!I173,"")</f>
        <v/>
      </c>
      <c r="G173" s="4">
        <f>IF('3. Monthly'!J173="","",'3. Monthly'!J173)</f>
        <v/>
      </c>
      <c r="H173" s="4">
        <f>IFERROR('3. Monthly'!K173/'3. Monthly'!L173,"")</f>
        <v/>
      </c>
      <c r="I173" s="21">
        <f>IFERROR('3. Monthly'!M173/'3. Monthly'!K173,"")</f>
        <v/>
      </c>
      <c r="J173" s="4">
        <f>IF('3. Monthly'!N173="","",'3. Monthly'!N173)</f>
        <v/>
      </c>
      <c r="K173" s="21">
        <f>IFERROR(('3. Monthly'!O173-'3. Monthly'!P173)/'3. Monthly'!O173,"")</f>
        <v/>
      </c>
      <c r="L173" s="21">
        <f>IFERROR('3. Monthly'!Q173/'3. Monthly'!G173,"")</f>
        <v/>
      </c>
      <c r="M173" s="21">
        <f>IFERROR('3. Monthly'!R173/'3. Monthly'!F173,"")</f>
        <v/>
      </c>
      <c r="N173" s="21">
        <f>IF('3. Monthly'!S173="","",'3. Monthly'!S173)</f>
        <v/>
      </c>
      <c r="O173" s="4">
        <f>IF('3. Monthly'!T173="","",'3. Monthly'!T173)</f>
        <v/>
      </c>
      <c r="P173" s="21">
        <f>IFERROR('3. Monthly'!U173/'3. Monthly'!H173,"")</f>
        <v/>
      </c>
      <c r="Q173" s="21">
        <f>IFERROR('3. Monthly'!V173/'3. Monthly'!H173,"")</f>
        <v/>
      </c>
      <c r="R173" s="21">
        <f>IFERROR('3. Monthly'!W173/'3. Monthly'!H173,"")</f>
        <v/>
      </c>
      <c r="S173" s="4">
        <f>IF('3. Monthly'!X173="","",'3. Monthly'!X173)</f>
        <v/>
      </c>
    </row>
    <row r="174">
      <c r="A174" s="4">
        <f>IF('3. Monthly'!A174="","",'3. Monthly'!A174)</f>
        <v/>
      </c>
      <c r="B174" s="20">
        <f>IF('3. Monthly'!A174="","",'3. Monthly'!B174)</f>
        <v/>
      </c>
      <c r="C174" s="4">
        <f>IF('3. Monthly'!A174="","",'3. Monthly'!C174)</f>
        <v/>
      </c>
      <c r="D174" s="21">
        <f>IFERROR('3. Monthly'!D174/'3. Monthly'!E174,"")</f>
        <v/>
      </c>
      <c r="E174" s="21">
        <f>IFERROR('3. Monthly'!F174/'3. Monthly'!G174,"")</f>
        <v/>
      </c>
      <c r="F174" s="21">
        <f>IFERROR('3. Monthly'!H174/'3. Monthly'!I174,"")</f>
        <v/>
      </c>
      <c r="G174" s="4">
        <f>IF('3. Monthly'!J174="","",'3. Monthly'!J174)</f>
        <v/>
      </c>
      <c r="H174" s="4">
        <f>IFERROR('3. Monthly'!K174/'3. Monthly'!L174,"")</f>
        <v/>
      </c>
      <c r="I174" s="21">
        <f>IFERROR('3. Monthly'!M174/'3. Monthly'!K174,"")</f>
        <v/>
      </c>
      <c r="J174" s="4">
        <f>IF('3. Monthly'!N174="","",'3. Monthly'!N174)</f>
        <v/>
      </c>
      <c r="K174" s="21">
        <f>IFERROR(('3. Monthly'!O174-'3. Monthly'!P174)/'3. Monthly'!O174,"")</f>
        <v/>
      </c>
      <c r="L174" s="21">
        <f>IFERROR('3. Monthly'!Q174/'3. Monthly'!G174,"")</f>
        <v/>
      </c>
      <c r="M174" s="21">
        <f>IFERROR('3. Monthly'!R174/'3. Monthly'!F174,"")</f>
        <v/>
      </c>
      <c r="N174" s="21">
        <f>IF('3. Monthly'!S174="","",'3. Monthly'!S174)</f>
        <v/>
      </c>
      <c r="O174" s="4">
        <f>IF('3. Monthly'!T174="","",'3. Monthly'!T174)</f>
        <v/>
      </c>
      <c r="P174" s="21">
        <f>IFERROR('3. Monthly'!U174/'3. Monthly'!H174,"")</f>
        <v/>
      </c>
      <c r="Q174" s="21">
        <f>IFERROR('3. Monthly'!V174/'3. Monthly'!H174,"")</f>
        <v/>
      </c>
      <c r="R174" s="21">
        <f>IFERROR('3. Monthly'!W174/'3. Monthly'!H174,"")</f>
        <v/>
      </c>
      <c r="S174" s="4">
        <f>IF('3. Monthly'!X174="","",'3. Monthly'!X174)</f>
        <v/>
      </c>
    </row>
    <row r="175">
      <c r="A175" s="4">
        <f>IF('3. Monthly'!A175="","",'3. Monthly'!A175)</f>
        <v/>
      </c>
      <c r="B175" s="20">
        <f>IF('3. Monthly'!A175="","",'3. Monthly'!B175)</f>
        <v/>
      </c>
      <c r="C175" s="4">
        <f>IF('3. Monthly'!A175="","",'3. Monthly'!C175)</f>
        <v/>
      </c>
      <c r="D175" s="21">
        <f>IFERROR('3. Monthly'!D175/'3. Monthly'!E175,"")</f>
        <v/>
      </c>
      <c r="E175" s="21">
        <f>IFERROR('3. Monthly'!F175/'3. Monthly'!G175,"")</f>
        <v/>
      </c>
      <c r="F175" s="21">
        <f>IFERROR('3. Monthly'!H175/'3. Monthly'!I175,"")</f>
        <v/>
      </c>
      <c r="G175" s="4">
        <f>IF('3. Monthly'!J175="","",'3. Monthly'!J175)</f>
        <v/>
      </c>
      <c r="H175" s="4">
        <f>IFERROR('3. Monthly'!K175/'3. Monthly'!L175,"")</f>
        <v/>
      </c>
      <c r="I175" s="21">
        <f>IFERROR('3. Monthly'!M175/'3. Monthly'!K175,"")</f>
        <v/>
      </c>
      <c r="J175" s="4">
        <f>IF('3. Monthly'!N175="","",'3. Monthly'!N175)</f>
        <v/>
      </c>
      <c r="K175" s="21">
        <f>IFERROR(('3. Monthly'!O175-'3. Monthly'!P175)/'3. Monthly'!O175,"")</f>
        <v/>
      </c>
      <c r="L175" s="21">
        <f>IFERROR('3. Monthly'!Q175/'3. Monthly'!G175,"")</f>
        <v/>
      </c>
      <c r="M175" s="21">
        <f>IFERROR('3. Monthly'!R175/'3. Monthly'!F175,"")</f>
        <v/>
      </c>
      <c r="N175" s="21">
        <f>IF('3. Monthly'!S175="","",'3. Monthly'!S175)</f>
        <v/>
      </c>
      <c r="O175" s="4">
        <f>IF('3. Monthly'!T175="","",'3. Monthly'!T175)</f>
        <v/>
      </c>
      <c r="P175" s="21">
        <f>IFERROR('3. Monthly'!U175/'3. Monthly'!H175,"")</f>
        <v/>
      </c>
      <c r="Q175" s="21">
        <f>IFERROR('3. Monthly'!V175/'3. Monthly'!H175,"")</f>
        <v/>
      </c>
      <c r="R175" s="21">
        <f>IFERROR('3. Monthly'!W175/'3. Monthly'!H175,"")</f>
        <v/>
      </c>
      <c r="S175" s="4">
        <f>IF('3. Monthly'!X175="","",'3. Monthly'!X175)</f>
        <v/>
      </c>
    </row>
    <row r="176">
      <c r="A176" s="4">
        <f>IF('3. Monthly'!A176="","",'3. Monthly'!A176)</f>
        <v/>
      </c>
      <c r="B176" s="20">
        <f>IF('3. Monthly'!A176="","",'3. Monthly'!B176)</f>
        <v/>
      </c>
      <c r="C176" s="4">
        <f>IF('3. Monthly'!A176="","",'3. Monthly'!C176)</f>
        <v/>
      </c>
      <c r="D176" s="21">
        <f>IFERROR('3. Monthly'!D176/'3. Monthly'!E176,"")</f>
        <v/>
      </c>
      <c r="E176" s="21">
        <f>IFERROR('3. Monthly'!F176/'3. Monthly'!G176,"")</f>
        <v/>
      </c>
      <c r="F176" s="21">
        <f>IFERROR('3. Monthly'!H176/'3. Monthly'!I176,"")</f>
        <v/>
      </c>
      <c r="G176" s="4">
        <f>IF('3. Monthly'!J176="","",'3. Monthly'!J176)</f>
        <v/>
      </c>
      <c r="H176" s="4">
        <f>IFERROR('3. Monthly'!K176/'3. Monthly'!L176,"")</f>
        <v/>
      </c>
      <c r="I176" s="21">
        <f>IFERROR('3. Monthly'!M176/'3. Monthly'!K176,"")</f>
        <v/>
      </c>
      <c r="J176" s="4">
        <f>IF('3. Monthly'!N176="","",'3. Monthly'!N176)</f>
        <v/>
      </c>
      <c r="K176" s="21">
        <f>IFERROR(('3. Monthly'!O176-'3. Monthly'!P176)/'3. Monthly'!O176,"")</f>
        <v/>
      </c>
      <c r="L176" s="21">
        <f>IFERROR('3. Monthly'!Q176/'3. Monthly'!G176,"")</f>
        <v/>
      </c>
      <c r="M176" s="21">
        <f>IFERROR('3. Monthly'!R176/'3. Monthly'!F176,"")</f>
        <v/>
      </c>
      <c r="N176" s="21">
        <f>IF('3. Monthly'!S176="","",'3. Monthly'!S176)</f>
        <v/>
      </c>
      <c r="O176" s="4">
        <f>IF('3. Monthly'!T176="","",'3. Monthly'!T176)</f>
        <v/>
      </c>
      <c r="P176" s="21">
        <f>IFERROR('3. Monthly'!U176/'3. Monthly'!H176,"")</f>
        <v/>
      </c>
      <c r="Q176" s="21">
        <f>IFERROR('3. Monthly'!V176/'3. Monthly'!H176,"")</f>
        <v/>
      </c>
      <c r="R176" s="21">
        <f>IFERROR('3. Monthly'!W176/'3. Monthly'!H176,"")</f>
        <v/>
      </c>
      <c r="S176" s="4">
        <f>IF('3. Monthly'!X176="","",'3. Monthly'!X176)</f>
        <v/>
      </c>
    </row>
    <row r="177">
      <c r="A177" s="4">
        <f>IF('3. Monthly'!A177="","",'3. Monthly'!A177)</f>
        <v/>
      </c>
      <c r="B177" s="20">
        <f>IF('3. Monthly'!A177="","",'3. Monthly'!B177)</f>
        <v/>
      </c>
      <c r="C177" s="4">
        <f>IF('3. Monthly'!A177="","",'3. Monthly'!C177)</f>
        <v/>
      </c>
      <c r="D177" s="21">
        <f>IFERROR('3. Monthly'!D177/'3. Monthly'!E177,"")</f>
        <v/>
      </c>
      <c r="E177" s="21">
        <f>IFERROR('3. Monthly'!F177/'3. Monthly'!G177,"")</f>
        <v/>
      </c>
      <c r="F177" s="21">
        <f>IFERROR('3. Monthly'!H177/'3. Monthly'!I177,"")</f>
        <v/>
      </c>
      <c r="G177" s="4">
        <f>IF('3. Monthly'!J177="","",'3. Monthly'!J177)</f>
        <v/>
      </c>
      <c r="H177" s="4">
        <f>IFERROR('3. Monthly'!K177/'3. Monthly'!L177,"")</f>
        <v/>
      </c>
      <c r="I177" s="21">
        <f>IFERROR('3. Monthly'!M177/'3. Monthly'!K177,"")</f>
        <v/>
      </c>
      <c r="J177" s="4">
        <f>IF('3. Monthly'!N177="","",'3. Monthly'!N177)</f>
        <v/>
      </c>
      <c r="K177" s="21">
        <f>IFERROR(('3. Monthly'!O177-'3. Monthly'!P177)/'3. Monthly'!O177,"")</f>
        <v/>
      </c>
      <c r="L177" s="21">
        <f>IFERROR('3. Monthly'!Q177/'3. Monthly'!G177,"")</f>
        <v/>
      </c>
      <c r="M177" s="21">
        <f>IFERROR('3. Monthly'!R177/'3. Monthly'!F177,"")</f>
        <v/>
      </c>
      <c r="N177" s="21">
        <f>IF('3. Monthly'!S177="","",'3. Monthly'!S177)</f>
        <v/>
      </c>
      <c r="O177" s="4">
        <f>IF('3. Monthly'!T177="","",'3. Monthly'!T177)</f>
        <v/>
      </c>
      <c r="P177" s="21">
        <f>IFERROR('3. Monthly'!U177/'3. Monthly'!H177,"")</f>
        <v/>
      </c>
      <c r="Q177" s="21">
        <f>IFERROR('3. Monthly'!V177/'3. Monthly'!H177,"")</f>
        <v/>
      </c>
      <c r="R177" s="21">
        <f>IFERROR('3. Monthly'!W177/'3. Monthly'!H177,"")</f>
        <v/>
      </c>
      <c r="S177" s="4">
        <f>IF('3. Monthly'!X177="","",'3. Monthly'!X177)</f>
        <v/>
      </c>
    </row>
    <row r="178">
      <c r="A178" s="4">
        <f>IF('3. Monthly'!A178="","",'3. Monthly'!A178)</f>
        <v/>
      </c>
      <c r="B178" s="20">
        <f>IF('3. Monthly'!A178="","",'3. Monthly'!B178)</f>
        <v/>
      </c>
      <c r="C178" s="4">
        <f>IF('3. Monthly'!A178="","",'3. Monthly'!C178)</f>
        <v/>
      </c>
      <c r="D178" s="21">
        <f>IFERROR('3. Monthly'!D178/'3. Monthly'!E178,"")</f>
        <v/>
      </c>
      <c r="E178" s="21">
        <f>IFERROR('3. Monthly'!F178/'3. Monthly'!G178,"")</f>
        <v/>
      </c>
      <c r="F178" s="21">
        <f>IFERROR('3. Monthly'!H178/'3. Monthly'!I178,"")</f>
        <v/>
      </c>
      <c r="G178" s="4">
        <f>IF('3. Monthly'!J178="","",'3. Monthly'!J178)</f>
        <v/>
      </c>
      <c r="H178" s="4">
        <f>IFERROR('3. Monthly'!K178/'3. Monthly'!L178,"")</f>
        <v/>
      </c>
      <c r="I178" s="21">
        <f>IFERROR('3. Monthly'!M178/'3. Monthly'!K178,"")</f>
        <v/>
      </c>
      <c r="J178" s="4">
        <f>IF('3. Monthly'!N178="","",'3. Monthly'!N178)</f>
        <v/>
      </c>
      <c r="K178" s="21">
        <f>IFERROR(('3. Monthly'!O178-'3. Monthly'!P178)/'3. Monthly'!O178,"")</f>
        <v/>
      </c>
      <c r="L178" s="21">
        <f>IFERROR('3. Monthly'!Q178/'3. Monthly'!G178,"")</f>
        <v/>
      </c>
      <c r="M178" s="21">
        <f>IFERROR('3. Monthly'!R178/'3. Monthly'!F178,"")</f>
        <v/>
      </c>
      <c r="N178" s="21">
        <f>IF('3. Monthly'!S178="","",'3. Monthly'!S178)</f>
        <v/>
      </c>
      <c r="O178" s="4">
        <f>IF('3. Monthly'!T178="","",'3. Monthly'!T178)</f>
        <v/>
      </c>
      <c r="P178" s="21">
        <f>IFERROR('3. Monthly'!U178/'3. Monthly'!H178,"")</f>
        <v/>
      </c>
      <c r="Q178" s="21">
        <f>IFERROR('3. Monthly'!V178/'3. Monthly'!H178,"")</f>
        <v/>
      </c>
      <c r="R178" s="21">
        <f>IFERROR('3. Monthly'!W178/'3. Monthly'!H178,"")</f>
        <v/>
      </c>
      <c r="S178" s="4">
        <f>IF('3. Monthly'!X178="","",'3. Monthly'!X178)</f>
        <v/>
      </c>
    </row>
    <row r="179">
      <c r="A179" s="4">
        <f>IF('3. Monthly'!A179="","",'3. Monthly'!A179)</f>
        <v/>
      </c>
      <c r="B179" s="20">
        <f>IF('3. Monthly'!A179="","",'3. Monthly'!B179)</f>
        <v/>
      </c>
      <c r="C179" s="4">
        <f>IF('3. Monthly'!A179="","",'3. Monthly'!C179)</f>
        <v/>
      </c>
      <c r="D179" s="21">
        <f>IFERROR('3. Monthly'!D179/'3. Monthly'!E179,"")</f>
        <v/>
      </c>
      <c r="E179" s="21">
        <f>IFERROR('3. Monthly'!F179/'3. Monthly'!G179,"")</f>
        <v/>
      </c>
      <c r="F179" s="21">
        <f>IFERROR('3. Monthly'!H179/'3. Monthly'!I179,"")</f>
        <v/>
      </c>
      <c r="G179" s="4">
        <f>IF('3. Monthly'!J179="","",'3. Monthly'!J179)</f>
        <v/>
      </c>
      <c r="H179" s="4">
        <f>IFERROR('3. Monthly'!K179/'3. Monthly'!L179,"")</f>
        <v/>
      </c>
      <c r="I179" s="21">
        <f>IFERROR('3. Monthly'!M179/'3. Monthly'!K179,"")</f>
        <v/>
      </c>
      <c r="J179" s="4">
        <f>IF('3. Monthly'!N179="","",'3. Monthly'!N179)</f>
        <v/>
      </c>
      <c r="K179" s="21">
        <f>IFERROR(('3. Monthly'!O179-'3. Monthly'!P179)/'3. Monthly'!O179,"")</f>
        <v/>
      </c>
      <c r="L179" s="21">
        <f>IFERROR('3. Monthly'!Q179/'3. Monthly'!G179,"")</f>
        <v/>
      </c>
      <c r="M179" s="21">
        <f>IFERROR('3. Monthly'!R179/'3. Monthly'!F179,"")</f>
        <v/>
      </c>
      <c r="N179" s="21">
        <f>IF('3. Monthly'!S179="","",'3. Monthly'!S179)</f>
        <v/>
      </c>
      <c r="O179" s="4">
        <f>IF('3. Monthly'!T179="","",'3. Monthly'!T179)</f>
        <v/>
      </c>
      <c r="P179" s="21">
        <f>IFERROR('3. Monthly'!U179/'3. Monthly'!H179,"")</f>
        <v/>
      </c>
      <c r="Q179" s="21">
        <f>IFERROR('3. Monthly'!V179/'3. Monthly'!H179,"")</f>
        <v/>
      </c>
      <c r="R179" s="21">
        <f>IFERROR('3. Monthly'!W179/'3. Monthly'!H179,"")</f>
        <v/>
      </c>
      <c r="S179" s="4">
        <f>IF('3. Monthly'!X179="","",'3. Monthly'!X179)</f>
        <v/>
      </c>
    </row>
    <row r="180">
      <c r="A180" s="4">
        <f>IF('3. Monthly'!A180="","",'3. Monthly'!A180)</f>
        <v/>
      </c>
      <c r="B180" s="20">
        <f>IF('3. Monthly'!A180="","",'3. Monthly'!B180)</f>
        <v/>
      </c>
      <c r="C180" s="4">
        <f>IF('3. Monthly'!A180="","",'3. Monthly'!C180)</f>
        <v/>
      </c>
      <c r="D180" s="21">
        <f>IFERROR('3. Monthly'!D180/'3. Monthly'!E180,"")</f>
        <v/>
      </c>
      <c r="E180" s="21">
        <f>IFERROR('3. Monthly'!F180/'3. Monthly'!G180,"")</f>
        <v/>
      </c>
      <c r="F180" s="21">
        <f>IFERROR('3. Monthly'!H180/'3. Monthly'!I180,"")</f>
        <v/>
      </c>
      <c r="G180" s="4">
        <f>IF('3. Monthly'!J180="","",'3. Monthly'!J180)</f>
        <v/>
      </c>
      <c r="H180" s="4">
        <f>IFERROR('3. Monthly'!K180/'3. Monthly'!L180,"")</f>
        <v/>
      </c>
      <c r="I180" s="21">
        <f>IFERROR('3. Monthly'!M180/'3. Monthly'!K180,"")</f>
        <v/>
      </c>
      <c r="J180" s="4">
        <f>IF('3. Monthly'!N180="","",'3. Monthly'!N180)</f>
        <v/>
      </c>
      <c r="K180" s="21">
        <f>IFERROR(('3. Monthly'!O180-'3. Monthly'!P180)/'3. Monthly'!O180,"")</f>
        <v/>
      </c>
      <c r="L180" s="21">
        <f>IFERROR('3. Monthly'!Q180/'3. Monthly'!G180,"")</f>
        <v/>
      </c>
      <c r="M180" s="21">
        <f>IFERROR('3. Monthly'!R180/'3. Monthly'!F180,"")</f>
        <v/>
      </c>
      <c r="N180" s="21">
        <f>IF('3. Monthly'!S180="","",'3. Monthly'!S180)</f>
        <v/>
      </c>
      <c r="O180" s="4">
        <f>IF('3. Monthly'!T180="","",'3. Monthly'!T180)</f>
        <v/>
      </c>
      <c r="P180" s="21">
        <f>IFERROR('3. Monthly'!U180/'3. Monthly'!H180,"")</f>
        <v/>
      </c>
      <c r="Q180" s="21">
        <f>IFERROR('3. Monthly'!V180/'3. Monthly'!H180,"")</f>
        <v/>
      </c>
      <c r="R180" s="21">
        <f>IFERROR('3. Monthly'!W180/'3. Monthly'!H180,"")</f>
        <v/>
      </c>
      <c r="S180" s="4">
        <f>IF('3. Monthly'!X180="","",'3. Monthly'!X180)</f>
        <v/>
      </c>
    </row>
    <row r="181">
      <c r="A181" s="4">
        <f>IF('3. Monthly'!A181="","",'3. Monthly'!A181)</f>
        <v/>
      </c>
      <c r="B181" s="20">
        <f>IF('3. Monthly'!A181="","",'3. Monthly'!B181)</f>
        <v/>
      </c>
      <c r="C181" s="4">
        <f>IF('3. Monthly'!A181="","",'3. Monthly'!C181)</f>
        <v/>
      </c>
      <c r="D181" s="21">
        <f>IFERROR('3. Monthly'!D181/'3. Monthly'!E181,"")</f>
        <v/>
      </c>
      <c r="E181" s="21">
        <f>IFERROR('3. Monthly'!F181/'3. Monthly'!G181,"")</f>
        <v/>
      </c>
      <c r="F181" s="21">
        <f>IFERROR('3. Monthly'!H181/'3. Monthly'!I181,"")</f>
        <v/>
      </c>
      <c r="G181" s="4">
        <f>IF('3. Monthly'!J181="","",'3. Monthly'!J181)</f>
        <v/>
      </c>
      <c r="H181" s="4">
        <f>IFERROR('3. Monthly'!K181/'3. Monthly'!L181,"")</f>
        <v/>
      </c>
      <c r="I181" s="21">
        <f>IFERROR('3. Monthly'!M181/'3. Monthly'!K181,"")</f>
        <v/>
      </c>
      <c r="J181" s="4">
        <f>IF('3. Monthly'!N181="","",'3. Monthly'!N181)</f>
        <v/>
      </c>
      <c r="K181" s="21">
        <f>IFERROR(('3. Monthly'!O181-'3. Monthly'!P181)/'3. Monthly'!O181,"")</f>
        <v/>
      </c>
      <c r="L181" s="21">
        <f>IFERROR('3. Monthly'!Q181/'3. Monthly'!G181,"")</f>
        <v/>
      </c>
      <c r="M181" s="21">
        <f>IFERROR('3. Monthly'!R181/'3. Monthly'!F181,"")</f>
        <v/>
      </c>
      <c r="N181" s="21">
        <f>IF('3. Monthly'!S181="","",'3. Monthly'!S181)</f>
        <v/>
      </c>
      <c r="O181" s="4">
        <f>IF('3. Monthly'!T181="","",'3. Monthly'!T181)</f>
        <v/>
      </c>
      <c r="P181" s="21">
        <f>IFERROR('3. Monthly'!U181/'3. Monthly'!H181,"")</f>
        <v/>
      </c>
      <c r="Q181" s="21">
        <f>IFERROR('3. Monthly'!V181/'3. Monthly'!H181,"")</f>
        <v/>
      </c>
      <c r="R181" s="21">
        <f>IFERROR('3. Monthly'!W181/'3. Monthly'!H181,"")</f>
        <v/>
      </c>
      <c r="S181" s="4">
        <f>IF('3. Monthly'!X181="","",'3. Monthly'!X181)</f>
        <v/>
      </c>
    </row>
    <row r="182">
      <c r="A182" s="4">
        <f>IF('3. Monthly'!A182="","",'3. Monthly'!A182)</f>
        <v/>
      </c>
      <c r="B182" s="20">
        <f>IF('3. Monthly'!A182="","",'3. Monthly'!B182)</f>
        <v/>
      </c>
      <c r="C182" s="4">
        <f>IF('3. Monthly'!A182="","",'3. Monthly'!C182)</f>
        <v/>
      </c>
      <c r="D182" s="21">
        <f>IFERROR('3. Monthly'!D182/'3. Monthly'!E182,"")</f>
        <v/>
      </c>
      <c r="E182" s="21">
        <f>IFERROR('3. Monthly'!F182/'3. Monthly'!G182,"")</f>
        <v/>
      </c>
      <c r="F182" s="21">
        <f>IFERROR('3. Monthly'!H182/'3. Monthly'!I182,"")</f>
        <v/>
      </c>
      <c r="G182" s="4">
        <f>IF('3. Monthly'!J182="","",'3. Monthly'!J182)</f>
        <v/>
      </c>
      <c r="H182" s="4">
        <f>IFERROR('3. Monthly'!K182/'3. Monthly'!L182,"")</f>
        <v/>
      </c>
      <c r="I182" s="21">
        <f>IFERROR('3. Monthly'!M182/'3. Monthly'!K182,"")</f>
        <v/>
      </c>
      <c r="J182" s="4">
        <f>IF('3. Monthly'!N182="","",'3. Monthly'!N182)</f>
        <v/>
      </c>
      <c r="K182" s="21">
        <f>IFERROR(('3. Monthly'!O182-'3. Monthly'!P182)/'3. Monthly'!O182,"")</f>
        <v/>
      </c>
      <c r="L182" s="21">
        <f>IFERROR('3. Monthly'!Q182/'3. Monthly'!G182,"")</f>
        <v/>
      </c>
      <c r="M182" s="21">
        <f>IFERROR('3. Monthly'!R182/'3. Monthly'!F182,"")</f>
        <v/>
      </c>
      <c r="N182" s="21">
        <f>IF('3. Monthly'!S182="","",'3. Monthly'!S182)</f>
        <v/>
      </c>
      <c r="O182" s="4">
        <f>IF('3. Monthly'!T182="","",'3. Monthly'!T182)</f>
        <v/>
      </c>
      <c r="P182" s="21">
        <f>IFERROR('3. Monthly'!U182/'3. Monthly'!H182,"")</f>
        <v/>
      </c>
      <c r="Q182" s="21">
        <f>IFERROR('3. Monthly'!V182/'3. Monthly'!H182,"")</f>
        <v/>
      </c>
      <c r="R182" s="21">
        <f>IFERROR('3. Monthly'!W182/'3. Monthly'!H182,"")</f>
        <v/>
      </c>
      <c r="S182" s="4">
        <f>IF('3. Monthly'!X182="","",'3. Monthly'!X182)</f>
        <v/>
      </c>
    </row>
    <row r="183">
      <c r="A183" s="4">
        <f>IF('3. Monthly'!A183="","",'3. Monthly'!A183)</f>
        <v/>
      </c>
      <c r="B183" s="20">
        <f>IF('3. Monthly'!A183="","",'3. Monthly'!B183)</f>
        <v/>
      </c>
      <c r="C183" s="4">
        <f>IF('3. Monthly'!A183="","",'3. Monthly'!C183)</f>
        <v/>
      </c>
      <c r="D183" s="21">
        <f>IFERROR('3. Monthly'!D183/'3. Monthly'!E183,"")</f>
        <v/>
      </c>
      <c r="E183" s="21">
        <f>IFERROR('3. Monthly'!F183/'3. Monthly'!G183,"")</f>
        <v/>
      </c>
      <c r="F183" s="21">
        <f>IFERROR('3. Monthly'!H183/'3. Monthly'!I183,"")</f>
        <v/>
      </c>
      <c r="G183" s="4">
        <f>IF('3. Monthly'!J183="","",'3. Monthly'!J183)</f>
        <v/>
      </c>
      <c r="H183" s="4">
        <f>IFERROR('3. Monthly'!K183/'3. Monthly'!L183,"")</f>
        <v/>
      </c>
      <c r="I183" s="21">
        <f>IFERROR('3. Monthly'!M183/'3. Monthly'!K183,"")</f>
        <v/>
      </c>
      <c r="J183" s="4">
        <f>IF('3. Monthly'!N183="","",'3. Monthly'!N183)</f>
        <v/>
      </c>
      <c r="K183" s="21">
        <f>IFERROR(('3. Monthly'!O183-'3. Monthly'!P183)/'3. Monthly'!O183,"")</f>
        <v/>
      </c>
      <c r="L183" s="21">
        <f>IFERROR('3. Monthly'!Q183/'3. Monthly'!G183,"")</f>
        <v/>
      </c>
      <c r="M183" s="21">
        <f>IFERROR('3. Monthly'!R183/'3. Monthly'!F183,"")</f>
        <v/>
      </c>
      <c r="N183" s="21">
        <f>IF('3. Monthly'!S183="","",'3. Monthly'!S183)</f>
        <v/>
      </c>
      <c r="O183" s="4">
        <f>IF('3. Monthly'!T183="","",'3. Monthly'!T183)</f>
        <v/>
      </c>
      <c r="P183" s="21">
        <f>IFERROR('3. Monthly'!U183/'3. Monthly'!H183,"")</f>
        <v/>
      </c>
      <c r="Q183" s="21">
        <f>IFERROR('3. Monthly'!V183/'3. Monthly'!H183,"")</f>
        <v/>
      </c>
      <c r="R183" s="21">
        <f>IFERROR('3. Monthly'!W183/'3. Monthly'!H183,"")</f>
        <v/>
      </c>
      <c r="S183" s="4">
        <f>IF('3. Monthly'!X183="","",'3. Monthly'!X183)</f>
        <v/>
      </c>
    </row>
    <row r="184">
      <c r="A184" s="4">
        <f>IF('3. Monthly'!A184="","",'3. Monthly'!A184)</f>
        <v/>
      </c>
      <c r="B184" s="20">
        <f>IF('3. Monthly'!A184="","",'3. Monthly'!B184)</f>
        <v/>
      </c>
      <c r="C184" s="4">
        <f>IF('3. Monthly'!A184="","",'3. Monthly'!C184)</f>
        <v/>
      </c>
      <c r="D184" s="21">
        <f>IFERROR('3. Monthly'!D184/'3. Monthly'!E184,"")</f>
        <v/>
      </c>
      <c r="E184" s="21">
        <f>IFERROR('3. Monthly'!F184/'3. Monthly'!G184,"")</f>
        <v/>
      </c>
      <c r="F184" s="21">
        <f>IFERROR('3. Monthly'!H184/'3. Monthly'!I184,"")</f>
        <v/>
      </c>
      <c r="G184" s="4">
        <f>IF('3. Monthly'!J184="","",'3. Monthly'!J184)</f>
        <v/>
      </c>
      <c r="H184" s="4">
        <f>IFERROR('3. Monthly'!K184/'3. Monthly'!L184,"")</f>
        <v/>
      </c>
      <c r="I184" s="21">
        <f>IFERROR('3. Monthly'!M184/'3. Monthly'!K184,"")</f>
        <v/>
      </c>
      <c r="J184" s="4">
        <f>IF('3. Monthly'!N184="","",'3. Monthly'!N184)</f>
        <v/>
      </c>
      <c r="K184" s="21">
        <f>IFERROR(('3. Monthly'!O184-'3. Monthly'!P184)/'3. Monthly'!O184,"")</f>
        <v/>
      </c>
      <c r="L184" s="21">
        <f>IFERROR('3. Monthly'!Q184/'3. Monthly'!G184,"")</f>
        <v/>
      </c>
      <c r="M184" s="21">
        <f>IFERROR('3. Monthly'!R184/'3. Monthly'!F184,"")</f>
        <v/>
      </c>
      <c r="N184" s="21">
        <f>IF('3. Monthly'!S184="","",'3. Monthly'!S184)</f>
        <v/>
      </c>
      <c r="O184" s="4">
        <f>IF('3. Monthly'!T184="","",'3. Monthly'!T184)</f>
        <v/>
      </c>
      <c r="P184" s="21">
        <f>IFERROR('3. Monthly'!U184/'3. Monthly'!H184,"")</f>
        <v/>
      </c>
      <c r="Q184" s="21">
        <f>IFERROR('3. Monthly'!V184/'3. Monthly'!H184,"")</f>
        <v/>
      </c>
      <c r="R184" s="21">
        <f>IFERROR('3. Monthly'!W184/'3. Monthly'!H184,"")</f>
        <v/>
      </c>
      <c r="S184" s="4">
        <f>IF('3. Monthly'!X184="","",'3. Monthly'!X184)</f>
        <v/>
      </c>
    </row>
    <row r="185">
      <c r="A185" s="4">
        <f>IF('3. Monthly'!A185="","",'3. Monthly'!A185)</f>
        <v/>
      </c>
      <c r="B185" s="20">
        <f>IF('3. Monthly'!A185="","",'3. Monthly'!B185)</f>
        <v/>
      </c>
      <c r="C185" s="4">
        <f>IF('3. Monthly'!A185="","",'3. Monthly'!C185)</f>
        <v/>
      </c>
      <c r="D185" s="21">
        <f>IFERROR('3. Monthly'!D185/'3. Monthly'!E185,"")</f>
        <v/>
      </c>
      <c r="E185" s="21">
        <f>IFERROR('3. Monthly'!F185/'3. Monthly'!G185,"")</f>
        <v/>
      </c>
      <c r="F185" s="21">
        <f>IFERROR('3. Monthly'!H185/'3. Monthly'!I185,"")</f>
        <v/>
      </c>
      <c r="G185" s="4">
        <f>IF('3. Monthly'!J185="","",'3. Monthly'!J185)</f>
        <v/>
      </c>
      <c r="H185" s="4">
        <f>IFERROR('3. Monthly'!K185/'3. Monthly'!L185,"")</f>
        <v/>
      </c>
      <c r="I185" s="21">
        <f>IFERROR('3. Monthly'!M185/'3. Monthly'!K185,"")</f>
        <v/>
      </c>
      <c r="J185" s="4">
        <f>IF('3. Monthly'!N185="","",'3. Monthly'!N185)</f>
        <v/>
      </c>
      <c r="K185" s="21">
        <f>IFERROR(('3. Monthly'!O185-'3. Monthly'!P185)/'3. Monthly'!O185,"")</f>
        <v/>
      </c>
      <c r="L185" s="21">
        <f>IFERROR('3. Monthly'!Q185/'3. Monthly'!G185,"")</f>
        <v/>
      </c>
      <c r="M185" s="21">
        <f>IFERROR('3. Monthly'!R185/'3. Monthly'!F185,"")</f>
        <v/>
      </c>
      <c r="N185" s="21">
        <f>IF('3. Monthly'!S185="","",'3. Monthly'!S185)</f>
        <v/>
      </c>
      <c r="O185" s="4">
        <f>IF('3. Monthly'!T185="","",'3. Monthly'!T185)</f>
        <v/>
      </c>
      <c r="P185" s="21">
        <f>IFERROR('3. Monthly'!U185/'3. Monthly'!H185,"")</f>
        <v/>
      </c>
      <c r="Q185" s="21">
        <f>IFERROR('3. Monthly'!V185/'3. Monthly'!H185,"")</f>
        <v/>
      </c>
      <c r="R185" s="21">
        <f>IFERROR('3. Monthly'!W185/'3. Monthly'!H185,"")</f>
        <v/>
      </c>
      <c r="S185" s="4">
        <f>IF('3. Monthly'!X185="","",'3. Monthly'!X185)</f>
        <v/>
      </c>
    </row>
    <row r="186">
      <c r="A186" s="4">
        <f>IF('3. Monthly'!A186="","",'3. Monthly'!A186)</f>
        <v/>
      </c>
      <c r="B186" s="20">
        <f>IF('3. Monthly'!A186="","",'3. Monthly'!B186)</f>
        <v/>
      </c>
      <c r="C186" s="4">
        <f>IF('3. Monthly'!A186="","",'3. Monthly'!C186)</f>
        <v/>
      </c>
      <c r="D186" s="21">
        <f>IFERROR('3. Monthly'!D186/'3. Monthly'!E186,"")</f>
        <v/>
      </c>
      <c r="E186" s="21">
        <f>IFERROR('3. Monthly'!F186/'3. Monthly'!G186,"")</f>
        <v/>
      </c>
      <c r="F186" s="21">
        <f>IFERROR('3. Monthly'!H186/'3. Monthly'!I186,"")</f>
        <v/>
      </c>
      <c r="G186" s="4">
        <f>IF('3. Monthly'!J186="","",'3. Monthly'!J186)</f>
        <v/>
      </c>
      <c r="H186" s="4">
        <f>IFERROR('3. Monthly'!K186/'3. Monthly'!L186,"")</f>
        <v/>
      </c>
      <c r="I186" s="21">
        <f>IFERROR('3. Monthly'!M186/'3. Monthly'!K186,"")</f>
        <v/>
      </c>
      <c r="J186" s="4">
        <f>IF('3. Monthly'!N186="","",'3. Monthly'!N186)</f>
        <v/>
      </c>
      <c r="K186" s="21">
        <f>IFERROR(('3. Monthly'!O186-'3. Monthly'!P186)/'3. Monthly'!O186,"")</f>
        <v/>
      </c>
      <c r="L186" s="21">
        <f>IFERROR('3. Monthly'!Q186/'3. Monthly'!G186,"")</f>
        <v/>
      </c>
      <c r="M186" s="21">
        <f>IFERROR('3. Monthly'!R186/'3. Monthly'!F186,"")</f>
        <v/>
      </c>
      <c r="N186" s="21">
        <f>IF('3. Monthly'!S186="","",'3. Monthly'!S186)</f>
        <v/>
      </c>
      <c r="O186" s="4">
        <f>IF('3. Monthly'!T186="","",'3. Monthly'!T186)</f>
        <v/>
      </c>
      <c r="P186" s="21">
        <f>IFERROR('3. Monthly'!U186/'3. Monthly'!H186,"")</f>
        <v/>
      </c>
      <c r="Q186" s="21">
        <f>IFERROR('3. Monthly'!V186/'3. Monthly'!H186,"")</f>
        <v/>
      </c>
      <c r="R186" s="21">
        <f>IFERROR('3. Monthly'!W186/'3. Monthly'!H186,"")</f>
        <v/>
      </c>
      <c r="S186" s="4">
        <f>IF('3. Monthly'!X186="","",'3. Monthly'!X186)</f>
        <v/>
      </c>
    </row>
    <row r="187">
      <c r="A187" s="4">
        <f>IF('3. Monthly'!A187="","",'3. Monthly'!A187)</f>
        <v/>
      </c>
      <c r="B187" s="20">
        <f>IF('3. Monthly'!A187="","",'3. Monthly'!B187)</f>
        <v/>
      </c>
      <c r="C187" s="4">
        <f>IF('3. Monthly'!A187="","",'3. Monthly'!C187)</f>
        <v/>
      </c>
      <c r="D187" s="21">
        <f>IFERROR('3. Monthly'!D187/'3. Monthly'!E187,"")</f>
        <v/>
      </c>
      <c r="E187" s="21">
        <f>IFERROR('3. Monthly'!F187/'3. Monthly'!G187,"")</f>
        <v/>
      </c>
      <c r="F187" s="21">
        <f>IFERROR('3. Monthly'!H187/'3. Monthly'!I187,"")</f>
        <v/>
      </c>
      <c r="G187" s="4">
        <f>IF('3. Monthly'!J187="","",'3. Monthly'!J187)</f>
        <v/>
      </c>
      <c r="H187" s="4">
        <f>IFERROR('3. Monthly'!K187/'3. Monthly'!L187,"")</f>
        <v/>
      </c>
      <c r="I187" s="21">
        <f>IFERROR('3. Monthly'!M187/'3. Monthly'!K187,"")</f>
        <v/>
      </c>
      <c r="J187" s="4">
        <f>IF('3. Monthly'!N187="","",'3. Monthly'!N187)</f>
        <v/>
      </c>
      <c r="K187" s="21">
        <f>IFERROR(('3. Monthly'!O187-'3. Monthly'!P187)/'3. Monthly'!O187,"")</f>
        <v/>
      </c>
      <c r="L187" s="21">
        <f>IFERROR('3. Monthly'!Q187/'3. Monthly'!G187,"")</f>
        <v/>
      </c>
      <c r="M187" s="21">
        <f>IFERROR('3. Monthly'!R187/'3. Monthly'!F187,"")</f>
        <v/>
      </c>
      <c r="N187" s="21">
        <f>IF('3. Monthly'!S187="","",'3. Monthly'!S187)</f>
        <v/>
      </c>
      <c r="O187" s="4">
        <f>IF('3. Monthly'!T187="","",'3. Monthly'!T187)</f>
        <v/>
      </c>
      <c r="P187" s="21">
        <f>IFERROR('3. Monthly'!U187/'3. Monthly'!H187,"")</f>
        <v/>
      </c>
      <c r="Q187" s="21">
        <f>IFERROR('3. Monthly'!V187/'3. Monthly'!H187,"")</f>
        <v/>
      </c>
      <c r="R187" s="21">
        <f>IFERROR('3. Monthly'!W187/'3. Monthly'!H187,"")</f>
        <v/>
      </c>
      <c r="S187" s="4">
        <f>IF('3. Monthly'!X187="","",'3. Monthly'!X187)</f>
        <v/>
      </c>
    </row>
    <row r="188">
      <c r="A188" s="4">
        <f>IF('3. Monthly'!A188="","",'3. Monthly'!A188)</f>
        <v/>
      </c>
      <c r="B188" s="20">
        <f>IF('3. Monthly'!A188="","",'3. Monthly'!B188)</f>
        <v/>
      </c>
      <c r="C188" s="4">
        <f>IF('3. Monthly'!A188="","",'3. Monthly'!C188)</f>
        <v/>
      </c>
      <c r="D188" s="21">
        <f>IFERROR('3. Monthly'!D188/'3. Monthly'!E188,"")</f>
        <v/>
      </c>
      <c r="E188" s="21">
        <f>IFERROR('3. Monthly'!F188/'3. Monthly'!G188,"")</f>
        <v/>
      </c>
      <c r="F188" s="21">
        <f>IFERROR('3. Monthly'!H188/'3. Monthly'!I188,"")</f>
        <v/>
      </c>
      <c r="G188" s="4">
        <f>IF('3. Monthly'!J188="","",'3. Monthly'!J188)</f>
        <v/>
      </c>
      <c r="H188" s="4">
        <f>IFERROR('3. Monthly'!K188/'3. Monthly'!L188,"")</f>
        <v/>
      </c>
      <c r="I188" s="21">
        <f>IFERROR('3. Monthly'!M188/'3. Monthly'!K188,"")</f>
        <v/>
      </c>
      <c r="J188" s="4">
        <f>IF('3. Monthly'!N188="","",'3. Monthly'!N188)</f>
        <v/>
      </c>
      <c r="K188" s="21">
        <f>IFERROR(('3. Monthly'!O188-'3. Monthly'!P188)/'3. Monthly'!O188,"")</f>
        <v/>
      </c>
      <c r="L188" s="21">
        <f>IFERROR('3. Monthly'!Q188/'3. Monthly'!G188,"")</f>
        <v/>
      </c>
      <c r="M188" s="21">
        <f>IFERROR('3. Monthly'!R188/'3. Monthly'!F188,"")</f>
        <v/>
      </c>
      <c r="N188" s="21">
        <f>IF('3. Monthly'!S188="","",'3. Monthly'!S188)</f>
        <v/>
      </c>
      <c r="O188" s="4">
        <f>IF('3. Monthly'!T188="","",'3. Monthly'!T188)</f>
        <v/>
      </c>
      <c r="P188" s="21">
        <f>IFERROR('3. Monthly'!U188/'3. Monthly'!H188,"")</f>
        <v/>
      </c>
      <c r="Q188" s="21">
        <f>IFERROR('3. Monthly'!V188/'3. Monthly'!H188,"")</f>
        <v/>
      </c>
      <c r="R188" s="21">
        <f>IFERROR('3. Monthly'!W188/'3. Monthly'!H188,"")</f>
        <v/>
      </c>
      <c r="S188" s="4">
        <f>IF('3. Monthly'!X188="","",'3. Monthly'!X188)</f>
        <v/>
      </c>
    </row>
    <row r="189">
      <c r="A189" s="4">
        <f>IF('3. Monthly'!A189="","",'3. Monthly'!A189)</f>
        <v/>
      </c>
      <c r="B189" s="20">
        <f>IF('3. Monthly'!A189="","",'3. Monthly'!B189)</f>
        <v/>
      </c>
      <c r="C189" s="4">
        <f>IF('3. Monthly'!A189="","",'3. Monthly'!C189)</f>
        <v/>
      </c>
      <c r="D189" s="21">
        <f>IFERROR('3. Monthly'!D189/'3. Monthly'!E189,"")</f>
        <v/>
      </c>
      <c r="E189" s="21">
        <f>IFERROR('3. Monthly'!F189/'3. Monthly'!G189,"")</f>
        <v/>
      </c>
      <c r="F189" s="21">
        <f>IFERROR('3. Monthly'!H189/'3. Monthly'!I189,"")</f>
        <v/>
      </c>
      <c r="G189" s="4">
        <f>IF('3. Monthly'!J189="","",'3. Monthly'!J189)</f>
        <v/>
      </c>
      <c r="H189" s="4">
        <f>IFERROR('3. Monthly'!K189/'3. Monthly'!L189,"")</f>
        <v/>
      </c>
      <c r="I189" s="21">
        <f>IFERROR('3. Monthly'!M189/'3. Monthly'!K189,"")</f>
        <v/>
      </c>
      <c r="J189" s="4">
        <f>IF('3. Monthly'!N189="","",'3. Monthly'!N189)</f>
        <v/>
      </c>
      <c r="K189" s="21">
        <f>IFERROR(('3. Monthly'!O189-'3. Monthly'!P189)/'3. Monthly'!O189,"")</f>
        <v/>
      </c>
      <c r="L189" s="21">
        <f>IFERROR('3. Monthly'!Q189/'3. Monthly'!G189,"")</f>
        <v/>
      </c>
      <c r="M189" s="21">
        <f>IFERROR('3. Monthly'!R189/'3. Monthly'!F189,"")</f>
        <v/>
      </c>
      <c r="N189" s="21">
        <f>IF('3. Monthly'!S189="","",'3. Monthly'!S189)</f>
        <v/>
      </c>
      <c r="O189" s="4">
        <f>IF('3. Monthly'!T189="","",'3. Monthly'!T189)</f>
        <v/>
      </c>
      <c r="P189" s="21">
        <f>IFERROR('3. Monthly'!U189/'3. Monthly'!H189,"")</f>
        <v/>
      </c>
      <c r="Q189" s="21">
        <f>IFERROR('3. Monthly'!V189/'3. Monthly'!H189,"")</f>
        <v/>
      </c>
      <c r="R189" s="21">
        <f>IFERROR('3. Monthly'!W189/'3. Monthly'!H189,"")</f>
        <v/>
      </c>
      <c r="S189" s="4">
        <f>IF('3. Monthly'!X189="","",'3. Monthly'!X189)</f>
        <v/>
      </c>
    </row>
    <row r="190">
      <c r="A190" s="4">
        <f>IF('3. Monthly'!A190="","",'3. Monthly'!A190)</f>
        <v/>
      </c>
      <c r="B190" s="20">
        <f>IF('3. Monthly'!A190="","",'3. Monthly'!B190)</f>
        <v/>
      </c>
      <c r="C190" s="4">
        <f>IF('3. Monthly'!A190="","",'3. Monthly'!C190)</f>
        <v/>
      </c>
      <c r="D190" s="21">
        <f>IFERROR('3. Monthly'!D190/'3. Monthly'!E190,"")</f>
        <v/>
      </c>
      <c r="E190" s="21">
        <f>IFERROR('3. Monthly'!F190/'3. Monthly'!G190,"")</f>
        <v/>
      </c>
      <c r="F190" s="21">
        <f>IFERROR('3. Monthly'!H190/'3. Monthly'!I190,"")</f>
        <v/>
      </c>
      <c r="G190" s="4">
        <f>IF('3. Monthly'!J190="","",'3. Monthly'!J190)</f>
        <v/>
      </c>
      <c r="H190" s="4">
        <f>IFERROR('3. Monthly'!K190/'3. Monthly'!L190,"")</f>
        <v/>
      </c>
      <c r="I190" s="21">
        <f>IFERROR('3. Monthly'!M190/'3. Monthly'!K190,"")</f>
        <v/>
      </c>
      <c r="J190" s="4">
        <f>IF('3. Monthly'!N190="","",'3. Monthly'!N190)</f>
        <v/>
      </c>
      <c r="K190" s="21">
        <f>IFERROR(('3. Monthly'!O190-'3. Monthly'!P190)/'3. Monthly'!O190,"")</f>
        <v/>
      </c>
      <c r="L190" s="21">
        <f>IFERROR('3. Monthly'!Q190/'3. Monthly'!G190,"")</f>
        <v/>
      </c>
      <c r="M190" s="21">
        <f>IFERROR('3. Monthly'!R190/'3. Monthly'!F190,"")</f>
        <v/>
      </c>
      <c r="N190" s="21">
        <f>IF('3. Monthly'!S190="","",'3. Monthly'!S190)</f>
        <v/>
      </c>
      <c r="O190" s="4">
        <f>IF('3. Monthly'!T190="","",'3. Monthly'!T190)</f>
        <v/>
      </c>
      <c r="P190" s="21">
        <f>IFERROR('3. Monthly'!U190/'3. Monthly'!H190,"")</f>
        <v/>
      </c>
      <c r="Q190" s="21">
        <f>IFERROR('3. Monthly'!V190/'3. Monthly'!H190,"")</f>
        <v/>
      </c>
      <c r="R190" s="21">
        <f>IFERROR('3. Monthly'!W190/'3. Monthly'!H190,"")</f>
        <v/>
      </c>
      <c r="S190" s="4">
        <f>IF('3. Monthly'!X190="","",'3. Monthly'!X190)</f>
        <v/>
      </c>
    </row>
    <row r="191">
      <c r="A191" s="4">
        <f>IF('3. Monthly'!A191="","",'3. Monthly'!A191)</f>
        <v/>
      </c>
      <c r="B191" s="20">
        <f>IF('3. Monthly'!A191="","",'3. Monthly'!B191)</f>
        <v/>
      </c>
      <c r="C191" s="4">
        <f>IF('3. Monthly'!A191="","",'3. Monthly'!C191)</f>
        <v/>
      </c>
      <c r="D191" s="21">
        <f>IFERROR('3. Monthly'!D191/'3. Monthly'!E191,"")</f>
        <v/>
      </c>
      <c r="E191" s="21">
        <f>IFERROR('3. Monthly'!F191/'3. Monthly'!G191,"")</f>
        <v/>
      </c>
      <c r="F191" s="21">
        <f>IFERROR('3. Monthly'!H191/'3. Monthly'!I191,"")</f>
        <v/>
      </c>
      <c r="G191" s="4">
        <f>IF('3. Monthly'!J191="","",'3. Monthly'!J191)</f>
        <v/>
      </c>
      <c r="H191" s="4">
        <f>IFERROR('3. Monthly'!K191/'3. Monthly'!L191,"")</f>
        <v/>
      </c>
      <c r="I191" s="21">
        <f>IFERROR('3. Monthly'!M191/'3. Monthly'!K191,"")</f>
        <v/>
      </c>
      <c r="J191" s="4">
        <f>IF('3. Monthly'!N191="","",'3. Monthly'!N191)</f>
        <v/>
      </c>
      <c r="K191" s="21">
        <f>IFERROR(('3. Monthly'!O191-'3. Monthly'!P191)/'3. Monthly'!O191,"")</f>
        <v/>
      </c>
      <c r="L191" s="21">
        <f>IFERROR('3. Monthly'!Q191/'3. Monthly'!G191,"")</f>
        <v/>
      </c>
      <c r="M191" s="21">
        <f>IFERROR('3. Monthly'!R191/'3. Monthly'!F191,"")</f>
        <v/>
      </c>
      <c r="N191" s="21">
        <f>IF('3. Monthly'!S191="","",'3. Monthly'!S191)</f>
        <v/>
      </c>
      <c r="O191" s="4">
        <f>IF('3. Monthly'!T191="","",'3. Monthly'!T191)</f>
        <v/>
      </c>
      <c r="P191" s="21">
        <f>IFERROR('3. Monthly'!U191/'3. Monthly'!H191,"")</f>
        <v/>
      </c>
      <c r="Q191" s="21">
        <f>IFERROR('3. Monthly'!V191/'3. Monthly'!H191,"")</f>
        <v/>
      </c>
      <c r="R191" s="21">
        <f>IFERROR('3. Monthly'!W191/'3. Monthly'!H191,"")</f>
        <v/>
      </c>
      <c r="S191" s="4">
        <f>IF('3. Monthly'!X191="","",'3. Monthly'!X191)</f>
        <v/>
      </c>
    </row>
    <row r="192">
      <c r="A192" s="4">
        <f>IF('3. Monthly'!A192="","",'3. Monthly'!A192)</f>
        <v/>
      </c>
      <c r="B192" s="20">
        <f>IF('3. Monthly'!A192="","",'3. Monthly'!B192)</f>
        <v/>
      </c>
      <c r="C192" s="4">
        <f>IF('3. Monthly'!A192="","",'3. Monthly'!C192)</f>
        <v/>
      </c>
      <c r="D192" s="21">
        <f>IFERROR('3. Monthly'!D192/'3. Monthly'!E192,"")</f>
        <v/>
      </c>
      <c r="E192" s="21">
        <f>IFERROR('3. Monthly'!F192/'3. Monthly'!G192,"")</f>
        <v/>
      </c>
      <c r="F192" s="21">
        <f>IFERROR('3. Monthly'!H192/'3. Monthly'!I192,"")</f>
        <v/>
      </c>
      <c r="G192" s="4">
        <f>IF('3. Monthly'!J192="","",'3. Monthly'!J192)</f>
        <v/>
      </c>
      <c r="H192" s="4">
        <f>IFERROR('3. Monthly'!K192/'3. Monthly'!L192,"")</f>
        <v/>
      </c>
      <c r="I192" s="21">
        <f>IFERROR('3. Monthly'!M192/'3. Monthly'!K192,"")</f>
        <v/>
      </c>
      <c r="J192" s="4">
        <f>IF('3. Monthly'!N192="","",'3. Monthly'!N192)</f>
        <v/>
      </c>
      <c r="K192" s="21">
        <f>IFERROR(('3. Monthly'!O192-'3. Monthly'!P192)/'3. Monthly'!O192,"")</f>
        <v/>
      </c>
      <c r="L192" s="21">
        <f>IFERROR('3. Monthly'!Q192/'3. Monthly'!G192,"")</f>
        <v/>
      </c>
      <c r="M192" s="21">
        <f>IFERROR('3. Monthly'!R192/'3. Monthly'!F192,"")</f>
        <v/>
      </c>
      <c r="N192" s="21">
        <f>IF('3. Monthly'!S192="","",'3. Monthly'!S192)</f>
        <v/>
      </c>
      <c r="O192" s="4">
        <f>IF('3. Monthly'!T192="","",'3. Monthly'!T192)</f>
        <v/>
      </c>
      <c r="P192" s="21">
        <f>IFERROR('3. Monthly'!U192/'3. Monthly'!H192,"")</f>
        <v/>
      </c>
      <c r="Q192" s="21">
        <f>IFERROR('3. Monthly'!V192/'3. Monthly'!H192,"")</f>
        <v/>
      </c>
      <c r="R192" s="21">
        <f>IFERROR('3. Monthly'!W192/'3. Monthly'!H192,"")</f>
        <v/>
      </c>
      <c r="S192" s="4">
        <f>IF('3. Monthly'!X192="","",'3. Monthly'!X192)</f>
        <v/>
      </c>
    </row>
    <row r="193">
      <c r="A193" s="4">
        <f>IF('3. Monthly'!A193="","",'3. Monthly'!A193)</f>
        <v/>
      </c>
      <c r="B193" s="20">
        <f>IF('3. Monthly'!A193="","",'3. Monthly'!B193)</f>
        <v/>
      </c>
      <c r="C193" s="4">
        <f>IF('3. Monthly'!A193="","",'3. Monthly'!C193)</f>
        <v/>
      </c>
      <c r="D193" s="21">
        <f>IFERROR('3. Monthly'!D193/'3. Monthly'!E193,"")</f>
        <v/>
      </c>
      <c r="E193" s="21">
        <f>IFERROR('3. Monthly'!F193/'3. Monthly'!G193,"")</f>
        <v/>
      </c>
      <c r="F193" s="21">
        <f>IFERROR('3. Monthly'!H193/'3. Monthly'!I193,"")</f>
        <v/>
      </c>
      <c r="G193" s="4">
        <f>IF('3. Monthly'!J193="","",'3. Monthly'!J193)</f>
        <v/>
      </c>
      <c r="H193" s="4">
        <f>IFERROR('3. Monthly'!K193/'3. Monthly'!L193,"")</f>
        <v/>
      </c>
      <c r="I193" s="21">
        <f>IFERROR('3. Monthly'!M193/'3. Monthly'!K193,"")</f>
        <v/>
      </c>
      <c r="J193" s="4">
        <f>IF('3. Monthly'!N193="","",'3. Monthly'!N193)</f>
        <v/>
      </c>
      <c r="K193" s="21">
        <f>IFERROR(('3. Monthly'!O193-'3. Monthly'!P193)/'3. Monthly'!O193,"")</f>
        <v/>
      </c>
      <c r="L193" s="21">
        <f>IFERROR('3. Monthly'!Q193/'3. Monthly'!G193,"")</f>
        <v/>
      </c>
      <c r="M193" s="21">
        <f>IFERROR('3. Monthly'!R193/'3. Monthly'!F193,"")</f>
        <v/>
      </c>
      <c r="N193" s="21">
        <f>IF('3. Monthly'!S193="","",'3. Monthly'!S193)</f>
        <v/>
      </c>
      <c r="O193" s="4">
        <f>IF('3. Monthly'!T193="","",'3. Monthly'!T193)</f>
        <v/>
      </c>
      <c r="P193" s="21">
        <f>IFERROR('3. Monthly'!U193/'3. Monthly'!H193,"")</f>
        <v/>
      </c>
      <c r="Q193" s="21">
        <f>IFERROR('3. Monthly'!V193/'3. Monthly'!H193,"")</f>
        <v/>
      </c>
      <c r="R193" s="21">
        <f>IFERROR('3. Monthly'!W193/'3. Monthly'!H193,"")</f>
        <v/>
      </c>
      <c r="S193" s="4">
        <f>IF('3. Monthly'!X193="","",'3. Monthly'!X193)</f>
        <v/>
      </c>
    </row>
    <row r="194">
      <c r="A194" s="4">
        <f>IF('3. Monthly'!A194="","",'3. Monthly'!A194)</f>
        <v/>
      </c>
      <c r="B194" s="20">
        <f>IF('3. Monthly'!A194="","",'3. Monthly'!B194)</f>
        <v/>
      </c>
      <c r="C194" s="4">
        <f>IF('3. Monthly'!A194="","",'3. Monthly'!C194)</f>
        <v/>
      </c>
      <c r="D194" s="21">
        <f>IFERROR('3. Monthly'!D194/'3. Monthly'!E194,"")</f>
        <v/>
      </c>
      <c r="E194" s="21">
        <f>IFERROR('3. Monthly'!F194/'3. Monthly'!G194,"")</f>
        <v/>
      </c>
      <c r="F194" s="21">
        <f>IFERROR('3. Monthly'!H194/'3. Monthly'!I194,"")</f>
        <v/>
      </c>
      <c r="G194" s="4">
        <f>IF('3. Monthly'!J194="","",'3. Monthly'!J194)</f>
        <v/>
      </c>
      <c r="H194" s="4">
        <f>IFERROR('3. Monthly'!K194/'3. Monthly'!L194,"")</f>
        <v/>
      </c>
      <c r="I194" s="21">
        <f>IFERROR('3. Monthly'!M194/'3. Monthly'!K194,"")</f>
        <v/>
      </c>
      <c r="J194" s="4">
        <f>IF('3. Monthly'!N194="","",'3. Monthly'!N194)</f>
        <v/>
      </c>
      <c r="K194" s="21">
        <f>IFERROR(('3. Monthly'!O194-'3. Monthly'!P194)/'3. Monthly'!O194,"")</f>
        <v/>
      </c>
      <c r="L194" s="21">
        <f>IFERROR('3. Monthly'!Q194/'3. Monthly'!G194,"")</f>
        <v/>
      </c>
      <c r="M194" s="21">
        <f>IFERROR('3. Monthly'!R194/'3. Monthly'!F194,"")</f>
        <v/>
      </c>
      <c r="N194" s="21">
        <f>IF('3. Monthly'!S194="","",'3. Monthly'!S194)</f>
        <v/>
      </c>
      <c r="O194" s="4">
        <f>IF('3. Monthly'!T194="","",'3. Monthly'!T194)</f>
        <v/>
      </c>
      <c r="P194" s="21">
        <f>IFERROR('3. Monthly'!U194/'3. Monthly'!H194,"")</f>
        <v/>
      </c>
      <c r="Q194" s="21">
        <f>IFERROR('3. Monthly'!V194/'3. Monthly'!H194,"")</f>
        <v/>
      </c>
      <c r="R194" s="21">
        <f>IFERROR('3. Monthly'!W194/'3. Monthly'!H194,"")</f>
        <v/>
      </c>
      <c r="S194" s="4">
        <f>IF('3. Monthly'!X194="","",'3. Monthly'!X194)</f>
        <v/>
      </c>
    </row>
    <row r="195">
      <c r="A195" s="4">
        <f>IF('3. Monthly'!A195="","",'3. Monthly'!A195)</f>
        <v/>
      </c>
      <c r="B195" s="20">
        <f>IF('3. Monthly'!A195="","",'3. Monthly'!B195)</f>
        <v/>
      </c>
      <c r="C195" s="4">
        <f>IF('3. Monthly'!A195="","",'3. Monthly'!C195)</f>
        <v/>
      </c>
      <c r="D195" s="21">
        <f>IFERROR('3. Monthly'!D195/'3. Monthly'!E195,"")</f>
        <v/>
      </c>
      <c r="E195" s="21">
        <f>IFERROR('3. Monthly'!F195/'3. Monthly'!G195,"")</f>
        <v/>
      </c>
      <c r="F195" s="21">
        <f>IFERROR('3. Monthly'!H195/'3. Monthly'!I195,"")</f>
        <v/>
      </c>
      <c r="G195" s="4">
        <f>IF('3. Monthly'!J195="","",'3. Monthly'!J195)</f>
        <v/>
      </c>
      <c r="H195" s="4">
        <f>IFERROR('3. Monthly'!K195/'3. Monthly'!L195,"")</f>
        <v/>
      </c>
      <c r="I195" s="21">
        <f>IFERROR('3. Monthly'!M195/'3. Monthly'!K195,"")</f>
        <v/>
      </c>
      <c r="J195" s="4">
        <f>IF('3. Monthly'!N195="","",'3. Monthly'!N195)</f>
        <v/>
      </c>
      <c r="K195" s="21">
        <f>IFERROR(('3. Monthly'!O195-'3. Monthly'!P195)/'3. Monthly'!O195,"")</f>
        <v/>
      </c>
      <c r="L195" s="21">
        <f>IFERROR('3. Monthly'!Q195/'3. Monthly'!G195,"")</f>
        <v/>
      </c>
      <c r="M195" s="21">
        <f>IFERROR('3. Monthly'!R195/'3. Monthly'!F195,"")</f>
        <v/>
      </c>
      <c r="N195" s="21">
        <f>IF('3. Monthly'!S195="","",'3. Monthly'!S195)</f>
        <v/>
      </c>
      <c r="O195" s="4">
        <f>IF('3. Monthly'!T195="","",'3. Monthly'!T195)</f>
        <v/>
      </c>
      <c r="P195" s="21">
        <f>IFERROR('3. Monthly'!U195/'3. Monthly'!H195,"")</f>
        <v/>
      </c>
      <c r="Q195" s="21">
        <f>IFERROR('3. Monthly'!V195/'3. Monthly'!H195,"")</f>
        <v/>
      </c>
      <c r="R195" s="21">
        <f>IFERROR('3. Monthly'!W195/'3. Monthly'!H195,"")</f>
        <v/>
      </c>
      <c r="S195" s="4">
        <f>IF('3. Monthly'!X195="","",'3. Monthly'!X195)</f>
        <v/>
      </c>
    </row>
    <row r="196">
      <c r="A196" s="4">
        <f>IF('3. Monthly'!A196="","",'3. Monthly'!A196)</f>
        <v/>
      </c>
      <c r="B196" s="20">
        <f>IF('3. Monthly'!A196="","",'3. Monthly'!B196)</f>
        <v/>
      </c>
      <c r="C196" s="4">
        <f>IF('3. Monthly'!A196="","",'3. Monthly'!C196)</f>
        <v/>
      </c>
      <c r="D196" s="21">
        <f>IFERROR('3. Monthly'!D196/'3. Monthly'!E196,"")</f>
        <v/>
      </c>
      <c r="E196" s="21">
        <f>IFERROR('3. Monthly'!F196/'3. Monthly'!G196,"")</f>
        <v/>
      </c>
      <c r="F196" s="21">
        <f>IFERROR('3. Monthly'!H196/'3. Monthly'!I196,"")</f>
        <v/>
      </c>
      <c r="G196" s="4">
        <f>IF('3. Monthly'!J196="","",'3. Monthly'!J196)</f>
        <v/>
      </c>
      <c r="H196" s="4">
        <f>IFERROR('3. Monthly'!K196/'3. Monthly'!L196,"")</f>
        <v/>
      </c>
      <c r="I196" s="21">
        <f>IFERROR('3. Monthly'!M196/'3. Monthly'!K196,"")</f>
        <v/>
      </c>
      <c r="J196" s="4">
        <f>IF('3. Monthly'!N196="","",'3. Monthly'!N196)</f>
        <v/>
      </c>
      <c r="K196" s="21">
        <f>IFERROR(('3. Monthly'!O196-'3. Monthly'!P196)/'3. Monthly'!O196,"")</f>
        <v/>
      </c>
      <c r="L196" s="21">
        <f>IFERROR('3. Monthly'!Q196/'3. Monthly'!G196,"")</f>
        <v/>
      </c>
      <c r="M196" s="21">
        <f>IFERROR('3. Monthly'!R196/'3. Monthly'!F196,"")</f>
        <v/>
      </c>
      <c r="N196" s="21">
        <f>IF('3. Monthly'!S196="","",'3. Monthly'!S196)</f>
        <v/>
      </c>
      <c r="O196" s="4">
        <f>IF('3. Monthly'!T196="","",'3. Monthly'!T196)</f>
        <v/>
      </c>
      <c r="P196" s="21">
        <f>IFERROR('3. Monthly'!U196/'3. Monthly'!H196,"")</f>
        <v/>
      </c>
      <c r="Q196" s="21">
        <f>IFERROR('3. Monthly'!V196/'3. Monthly'!H196,"")</f>
        <v/>
      </c>
      <c r="R196" s="21">
        <f>IFERROR('3. Monthly'!W196/'3. Monthly'!H196,"")</f>
        <v/>
      </c>
      <c r="S196" s="4">
        <f>IF('3. Monthly'!X196="","",'3. Monthly'!X196)</f>
        <v/>
      </c>
    </row>
    <row r="197">
      <c r="A197" s="4">
        <f>IF('3. Monthly'!A197="","",'3. Monthly'!A197)</f>
        <v/>
      </c>
      <c r="B197" s="20">
        <f>IF('3. Monthly'!A197="","",'3. Monthly'!B197)</f>
        <v/>
      </c>
      <c r="C197" s="4">
        <f>IF('3. Monthly'!A197="","",'3. Monthly'!C197)</f>
        <v/>
      </c>
      <c r="D197" s="21">
        <f>IFERROR('3. Monthly'!D197/'3. Monthly'!E197,"")</f>
        <v/>
      </c>
      <c r="E197" s="21">
        <f>IFERROR('3. Monthly'!F197/'3. Monthly'!G197,"")</f>
        <v/>
      </c>
      <c r="F197" s="21">
        <f>IFERROR('3. Monthly'!H197/'3. Monthly'!I197,"")</f>
        <v/>
      </c>
      <c r="G197" s="4">
        <f>IF('3. Monthly'!J197="","",'3. Monthly'!J197)</f>
        <v/>
      </c>
      <c r="H197" s="4">
        <f>IFERROR('3. Monthly'!K197/'3. Monthly'!L197,"")</f>
        <v/>
      </c>
      <c r="I197" s="21">
        <f>IFERROR('3. Monthly'!M197/'3. Monthly'!K197,"")</f>
        <v/>
      </c>
      <c r="J197" s="4">
        <f>IF('3. Monthly'!N197="","",'3. Monthly'!N197)</f>
        <v/>
      </c>
      <c r="K197" s="21">
        <f>IFERROR(('3. Monthly'!O197-'3. Monthly'!P197)/'3. Monthly'!O197,"")</f>
        <v/>
      </c>
      <c r="L197" s="21">
        <f>IFERROR('3. Monthly'!Q197/'3. Monthly'!G197,"")</f>
        <v/>
      </c>
      <c r="M197" s="21">
        <f>IFERROR('3. Monthly'!R197/'3. Monthly'!F197,"")</f>
        <v/>
      </c>
      <c r="N197" s="21">
        <f>IF('3. Monthly'!S197="","",'3. Monthly'!S197)</f>
        <v/>
      </c>
      <c r="O197" s="4">
        <f>IF('3. Monthly'!T197="","",'3. Monthly'!T197)</f>
        <v/>
      </c>
      <c r="P197" s="21">
        <f>IFERROR('3. Monthly'!U197/'3. Monthly'!H197,"")</f>
        <v/>
      </c>
      <c r="Q197" s="21">
        <f>IFERROR('3. Monthly'!V197/'3. Monthly'!H197,"")</f>
        <v/>
      </c>
      <c r="R197" s="21">
        <f>IFERROR('3. Monthly'!W197/'3. Monthly'!H197,"")</f>
        <v/>
      </c>
      <c r="S197" s="4">
        <f>IF('3. Monthly'!X197="","",'3. Monthly'!X197)</f>
        <v/>
      </c>
    </row>
    <row r="198">
      <c r="A198" s="4">
        <f>IF('3. Monthly'!A198="","",'3. Monthly'!A198)</f>
        <v/>
      </c>
      <c r="B198" s="20">
        <f>IF('3. Monthly'!A198="","",'3. Monthly'!B198)</f>
        <v/>
      </c>
      <c r="C198" s="4">
        <f>IF('3. Monthly'!A198="","",'3. Monthly'!C198)</f>
        <v/>
      </c>
      <c r="D198" s="21">
        <f>IFERROR('3. Monthly'!D198/'3. Monthly'!E198,"")</f>
        <v/>
      </c>
      <c r="E198" s="21">
        <f>IFERROR('3. Monthly'!F198/'3. Monthly'!G198,"")</f>
        <v/>
      </c>
      <c r="F198" s="21">
        <f>IFERROR('3. Monthly'!H198/'3. Monthly'!I198,"")</f>
        <v/>
      </c>
      <c r="G198" s="4">
        <f>IF('3. Monthly'!J198="","",'3. Monthly'!J198)</f>
        <v/>
      </c>
      <c r="H198" s="4">
        <f>IFERROR('3. Monthly'!K198/'3. Monthly'!L198,"")</f>
        <v/>
      </c>
      <c r="I198" s="21">
        <f>IFERROR('3. Monthly'!M198/'3. Monthly'!K198,"")</f>
        <v/>
      </c>
      <c r="J198" s="4">
        <f>IF('3. Monthly'!N198="","",'3. Monthly'!N198)</f>
        <v/>
      </c>
      <c r="K198" s="21">
        <f>IFERROR(('3. Monthly'!O198-'3. Monthly'!P198)/'3. Monthly'!O198,"")</f>
        <v/>
      </c>
      <c r="L198" s="21">
        <f>IFERROR('3. Monthly'!Q198/'3. Monthly'!G198,"")</f>
        <v/>
      </c>
      <c r="M198" s="21">
        <f>IFERROR('3. Monthly'!R198/'3. Monthly'!F198,"")</f>
        <v/>
      </c>
      <c r="N198" s="21">
        <f>IF('3. Monthly'!S198="","",'3. Monthly'!S198)</f>
        <v/>
      </c>
      <c r="O198" s="4">
        <f>IF('3. Monthly'!T198="","",'3. Monthly'!T198)</f>
        <v/>
      </c>
      <c r="P198" s="21">
        <f>IFERROR('3. Monthly'!U198/'3. Monthly'!H198,"")</f>
        <v/>
      </c>
      <c r="Q198" s="21">
        <f>IFERROR('3. Monthly'!V198/'3. Monthly'!H198,"")</f>
        <v/>
      </c>
      <c r="R198" s="21">
        <f>IFERROR('3. Monthly'!W198/'3. Monthly'!H198,"")</f>
        <v/>
      </c>
      <c r="S198" s="4">
        <f>IF('3. Monthly'!X198="","",'3. Monthly'!X198)</f>
        <v/>
      </c>
    </row>
    <row r="199">
      <c r="A199" s="4">
        <f>IF('3. Monthly'!A199="","",'3. Monthly'!A199)</f>
        <v/>
      </c>
      <c r="B199" s="20">
        <f>IF('3. Monthly'!A199="","",'3. Monthly'!B199)</f>
        <v/>
      </c>
      <c r="C199" s="4">
        <f>IF('3. Monthly'!A199="","",'3. Monthly'!C199)</f>
        <v/>
      </c>
      <c r="D199" s="21">
        <f>IFERROR('3. Monthly'!D199/'3. Monthly'!E199,"")</f>
        <v/>
      </c>
      <c r="E199" s="21">
        <f>IFERROR('3. Monthly'!F199/'3. Monthly'!G199,"")</f>
        <v/>
      </c>
      <c r="F199" s="21">
        <f>IFERROR('3. Monthly'!H199/'3. Monthly'!I199,"")</f>
        <v/>
      </c>
      <c r="G199" s="4">
        <f>IF('3. Monthly'!J199="","",'3. Monthly'!J199)</f>
        <v/>
      </c>
      <c r="H199" s="4">
        <f>IFERROR('3. Monthly'!K199/'3. Monthly'!L199,"")</f>
        <v/>
      </c>
      <c r="I199" s="21">
        <f>IFERROR('3. Monthly'!M199/'3. Monthly'!K199,"")</f>
        <v/>
      </c>
      <c r="J199" s="4">
        <f>IF('3. Monthly'!N199="","",'3. Monthly'!N199)</f>
        <v/>
      </c>
      <c r="K199" s="21">
        <f>IFERROR(('3. Monthly'!O199-'3. Monthly'!P199)/'3. Monthly'!O199,"")</f>
        <v/>
      </c>
      <c r="L199" s="21">
        <f>IFERROR('3. Monthly'!Q199/'3. Monthly'!G199,"")</f>
        <v/>
      </c>
      <c r="M199" s="21">
        <f>IFERROR('3. Monthly'!R199/'3. Monthly'!F199,"")</f>
        <v/>
      </c>
      <c r="N199" s="21">
        <f>IF('3. Monthly'!S199="","",'3. Monthly'!S199)</f>
        <v/>
      </c>
      <c r="O199" s="4">
        <f>IF('3. Monthly'!T199="","",'3. Monthly'!T199)</f>
        <v/>
      </c>
      <c r="P199" s="21">
        <f>IFERROR('3. Monthly'!U199/'3. Monthly'!H199,"")</f>
        <v/>
      </c>
      <c r="Q199" s="21">
        <f>IFERROR('3. Monthly'!V199/'3. Monthly'!H199,"")</f>
        <v/>
      </c>
      <c r="R199" s="21">
        <f>IFERROR('3. Monthly'!W199/'3. Monthly'!H199,"")</f>
        <v/>
      </c>
      <c r="S199" s="4">
        <f>IF('3. Monthly'!X199="","",'3. Monthly'!X199)</f>
        <v/>
      </c>
    </row>
    <row r="200">
      <c r="A200" s="4">
        <f>IF('3. Monthly'!A200="","",'3. Monthly'!A200)</f>
        <v/>
      </c>
      <c r="B200" s="20">
        <f>IF('3. Monthly'!A200="","",'3. Monthly'!B200)</f>
        <v/>
      </c>
      <c r="C200" s="4">
        <f>IF('3. Monthly'!A200="","",'3. Monthly'!C200)</f>
        <v/>
      </c>
      <c r="D200" s="21">
        <f>IFERROR('3. Monthly'!D200/'3. Monthly'!E200,"")</f>
        <v/>
      </c>
      <c r="E200" s="21">
        <f>IFERROR('3. Monthly'!F200/'3. Monthly'!G200,"")</f>
        <v/>
      </c>
      <c r="F200" s="21">
        <f>IFERROR('3. Monthly'!H200/'3. Monthly'!I200,"")</f>
        <v/>
      </c>
      <c r="G200" s="4">
        <f>IF('3. Monthly'!J200="","",'3. Monthly'!J200)</f>
        <v/>
      </c>
      <c r="H200" s="4">
        <f>IFERROR('3. Monthly'!K200/'3. Monthly'!L200,"")</f>
        <v/>
      </c>
      <c r="I200" s="21">
        <f>IFERROR('3. Monthly'!M200/'3. Monthly'!K200,"")</f>
        <v/>
      </c>
      <c r="J200" s="4">
        <f>IF('3. Monthly'!N200="","",'3. Monthly'!N200)</f>
        <v/>
      </c>
      <c r="K200" s="21">
        <f>IFERROR(('3. Monthly'!O200-'3. Monthly'!P200)/'3. Monthly'!O200,"")</f>
        <v/>
      </c>
      <c r="L200" s="21">
        <f>IFERROR('3. Monthly'!Q200/'3. Monthly'!G200,"")</f>
        <v/>
      </c>
      <c r="M200" s="21">
        <f>IFERROR('3. Monthly'!R200/'3. Monthly'!F200,"")</f>
        <v/>
      </c>
      <c r="N200" s="21">
        <f>IF('3. Monthly'!S200="","",'3. Monthly'!S200)</f>
        <v/>
      </c>
      <c r="O200" s="4">
        <f>IF('3. Monthly'!T200="","",'3. Monthly'!T200)</f>
        <v/>
      </c>
      <c r="P200" s="21">
        <f>IFERROR('3. Monthly'!U200/'3. Monthly'!H200,"")</f>
        <v/>
      </c>
      <c r="Q200" s="21">
        <f>IFERROR('3. Monthly'!V200/'3. Monthly'!H200,"")</f>
        <v/>
      </c>
      <c r="R200" s="21">
        <f>IFERROR('3. Monthly'!W200/'3. Monthly'!H200,"")</f>
        <v/>
      </c>
      <c r="S200" s="4">
        <f>IF('3. Monthly'!X200="","",'3. Monthly'!X200)</f>
        <v/>
      </c>
    </row>
    <row r="201">
      <c r="A201" s="4">
        <f>IF('3. Monthly'!A201="","",'3. Monthly'!A201)</f>
        <v/>
      </c>
      <c r="B201" s="20">
        <f>IF('3. Monthly'!A201="","",'3. Monthly'!B201)</f>
        <v/>
      </c>
      <c r="C201" s="4">
        <f>IF('3. Monthly'!A201="","",'3. Monthly'!C201)</f>
        <v/>
      </c>
      <c r="D201" s="21">
        <f>IFERROR('3. Monthly'!D201/'3. Monthly'!E201,"")</f>
        <v/>
      </c>
      <c r="E201" s="21">
        <f>IFERROR('3. Monthly'!F201/'3. Monthly'!G201,"")</f>
        <v/>
      </c>
      <c r="F201" s="21">
        <f>IFERROR('3. Monthly'!H201/'3. Monthly'!I201,"")</f>
        <v/>
      </c>
      <c r="G201" s="4">
        <f>IF('3. Monthly'!J201="","",'3. Monthly'!J201)</f>
        <v/>
      </c>
      <c r="H201" s="4">
        <f>IFERROR('3. Monthly'!K201/'3. Monthly'!L201,"")</f>
        <v/>
      </c>
      <c r="I201" s="21">
        <f>IFERROR('3. Monthly'!M201/'3. Monthly'!K201,"")</f>
        <v/>
      </c>
      <c r="J201" s="4">
        <f>IF('3. Monthly'!N201="","",'3. Monthly'!N201)</f>
        <v/>
      </c>
      <c r="K201" s="21">
        <f>IFERROR(('3. Monthly'!O201-'3. Monthly'!P201)/'3. Monthly'!O201,"")</f>
        <v/>
      </c>
      <c r="L201" s="21">
        <f>IFERROR('3. Monthly'!Q201/'3. Monthly'!G201,"")</f>
        <v/>
      </c>
      <c r="M201" s="21">
        <f>IFERROR('3. Monthly'!R201/'3. Monthly'!F201,"")</f>
        <v/>
      </c>
      <c r="N201" s="21">
        <f>IF('3. Monthly'!S201="","",'3. Monthly'!S201)</f>
        <v/>
      </c>
      <c r="O201" s="4">
        <f>IF('3. Monthly'!T201="","",'3. Monthly'!T201)</f>
        <v/>
      </c>
      <c r="P201" s="21">
        <f>IFERROR('3. Monthly'!U201/'3. Monthly'!H201,"")</f>
        <v/>
      </c>
      <c r="Q201" s="21">
        <f>IFERROR('3. Monthly'!V201/'3. Monthly'!H201,"")</f>
        <v/>
      </c>
      <c r="R201" s="21">
        <f>IFERROR('3. Monthly'!W201/'3. Monthly'!H201,"")</f>
        <v/>
      </c>
      <c r="S201" s="4">
        <f>IF('3. Monthly'!X201="","",'3. Monthly'!X201)</f>
        <v/>
      </c>
    </row>
    <row r="202">
      <c r="A202" s="4">
        <f>IF('3. Monthly'!A202="","",'3. Monthly'!A202)</f>
        <v/>
      </c>
      <c r="B202" s="20">
        <f>IF('3. Monthly'!A202="","",'3. Monthly'!B202)</f>
        <v/>
      </c>
      <c r="C202" s="4">
        <f>IF('3. Monthly'!A202="","",'3. Monthly'!C202)</f>
        <v/>
      </c>
      <c r="D202" s="21">
        <f>IFERROR('3. Monthly'!D202/'3. Monthly'!E202,"")</f>
        <v/>
      </c>
      <c r="E202" s="21">
        <f>IFERROR('3. Monthly'!F202/'3. Monthly'!G202,"")</f>
        <v/>
      </c>
      <c r="F202" s="21">
        <f>IFERROR('3. Monthly'!H202/'3. Monthly'!I202,"")</f>
        <v/>
      </c>
      <c r="G202" s="4">
        <f>IF('3. Monthly'!J202="","",'3. Monthly'!J202)</f>
        <v/>
      </c>
      <c r="H202" s="4">
        <f>IFERROR('3. Monthly'!K202/'3. Monthly'!L202,"")</f>
        <v/>
      </c>
      <c r="I202" s="21">
        <f>IFERROR('3. Monthly'!M202/'3. Monthly'!K202,"")</f>
        <v/>
      </c>
      <c r="J202" s="4">
        <f>IF('3. Monthly'!N202="","",'3. Monthly'!N202)</f>
        <v/>
      </c>
      <c r="K202" s="21">
        <f>IFERROR(('3. Monthly'!O202-'3. Monthly'!P202)/'3. Monthly'!O202,"")</f>
        <v/>
      </c>
      <c r="L202" s="21">
        <f>IFERROR('3. Monthly'!Q202/'3. Monthly'!G202,"")</f>
        <v/>
      </c>
      <c r="M202" s="21">
        <f>IFERROR('3. Monthly'!R202/'3. Monthly'!F202,"")</f>
        <v/>
      </c>
      <c r="N202" s="21">
        <f>IF('3. Monthly'!S202="","",'3. Monthly'!S202)</f>
        <v/>
      </c>
      <c r="O202" s="4">
        <f>IF('3. Monthly'!T202="","",'3. Monthly'!T202)</f>
        <v/>
      </c>
      <c r="P202" s="21">
        <f>IFERROR('3. Monthly'!U202/'3. Monthly'!H202,"")</f>
        <v/>
      </c>
      <c r="Q202" s="21">
        <f>IFERROR('3. Monthly'!V202/'3. Monthly'!H202,"")</f>
        <v/>
      </c>
      <c r="R202" s="21">
        <f>IFERROR('3. Monthly'!W202/'3. Monthly'!H202,"")</f>
        <v/>
      </c>
      <c r="S202" s="4">
        <f>IF('3. Monthly'!X202="","",'3. Monthly'!X202)</f>
        <v/>
      </c>
    </row>
    <row r="203">
      <c r="A203" s="4">
        <f>IF('3. Monthly'!A203="","",'3. Monthly'!A203)</f>
        <v/>
      </c>
      <c r="B203" s="20">
        <f>IF('3. Monthly'!A203="","",'3. Monthly'!B203)</f>
        <v/>
      </c>
      <c r="C203" s="4">
        <f>IF('3. Monthly'!A203="","",'3. Monthly'!C203)</f>
        <v/>
      </c>
      <c r="D203" s="21">
        <f>IFERROR('3. Monthly'!D203/'3. Monthly'!E203,"")</f>
        <v/>
      </c>
      <c r="E203" s="21">
        <f>IFERROR('3. Monthly'!F203/'3. Monthly'!G203,"")</f>
        <v/>
      </c>
      <c r="F203" s="21">
        <f>IFERROR('3. Monthly'!H203/'3. Monthly'!I203,"")</f>
        <v/>
      </c>
      <c r="G203" s="4">
        <f>IF('3. Monthly'!J203="","",'3. Monthly'!J203)</f>
        <v/>
      </c>
      <c r="H203" s="4">
        <f>IFERROR('3. Monthly'!K203/'3. Monthly'!L203,"")</f>
        <v/>
      </c>
      <c r="I203" s="21">
        <f>IFERROR('3. Monthly'!M203/'3. Monthly'!K203,"")</f>
        <v/>
      </c>
      <c r="J203" s="4">
        <f>IF('3. Monthly'!N203="","",'3. Monthly'!N203)</f>
        <v/>
      </c>
      <c r="K203" s="21">
        <f>IFERROR(('3. Monthly'!O203-'3. Monthly'!P203)/'3. Monthly'!O203,"")</f>
        <v/>
      </c>
      <c r="L203" s="21">
        <f>IFERROR('3. Monthly'!Q203/'3. Monthly'!G203,"")</f>
        <v/>
      </c>
      <c r="M203" s="21">
        <f>IFERROR('3. Monthly'!R203/'3. Monthly'!F203,"")</f>
        <v/>
      </c>
      <c r="N203" s="21">
        <f>IF('3. Monthly'!S203="","",'3. Monthly'!S203)</f>
        <v/>
      </c>
      <c r="O203" s="4">
        <f>IF('3. Monthly'!T203="","",'3. Monthly'!T203)</f>
        <v/>
      </c>
      <c r="P203" s="21">
        <f>IFERROR('3. Monthly'!U203/'3. Monthly'!H203,"")</f>
        <v/>
      </c>
      <c r="Q203" s="21">
        <f>IFERROR('3. Monthly'!V203/'3. Monthly'!H203,"")</f>
        <v/>
      </c>
      <c r="R203" s="21">
        <f>IFERROR('3. Monthly'!W203/'3. Monthly'!H203,"")</f>
        <v/>
      </c>
      <c r="S203" s="4">
        <f>IF('3. Monthly'!X203="","",'3. Monthly'!X203)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3"/>
  <sheetViews>
    <sheetView zoomScaleNormal="100" workbookViewId="0">
      <pane xSplit="3" ySplit="3" topLeftCell="D4" activePane="bottomRight" state="frozen"/>
      <selection pane="bottomRight" activeCell="I5" sqref="I5"/>
      <selection pane="bottomLeft" activeCell="A4" sqref="A4"/>
      <selection pane="topRight" activeCell="D1" sqref="D1"/>
    </sheetView>
  </sheetViews>
  <sheetFormatPr baseColWidth="8" defaultColWidth="8.7109375" defaultRowHeight="15"/>
  <cols>
    <col width="9" customWidth="1" min="1" max="2"/>
    <col width="16" customWidth="1" min="3" max="3"/>
    <col width="9" customWidth="1" min="4" max="20"/>
    <col hidden="1" width="9" customWidth="1" min="21" max="28"/>
  </cols>
  <sheetData>
    <row r="1">
      <c r="A1" s="15" t="inlineStr">
        <is>
          <t>LEVEL MAPPING (auto) — looked up by key ProjectID+Quarter. Do not type.</t>
        </is>
      </c>
    </row>
    <row r="2"/>
    <row r="3" ht="22.35" customHeight="1">
      <c r="A3" s="8" t="inlineStr">
        <is>
          <t>ProjectID</t>
        </is>
      </c>
      <c r="B3" s="8" t="inlineStr">
        <is>
          <t>Quarter</t>
        </is>
      </c>
      <c r="C3" s="8" t="inlineStr">
        <is>
          <t>Project name</t>
        </is>
      </c>
      <c r="D3" s="8" t="inlineStr">
        <is>
          <t>AI usage%</t>
        </is>
      </c>
      <c r="E3" s="8" t="inlineStr">
        <is>
          <t>%PR-AI</t>
        </is>
      </c>
      <c r="F3" s="8" t="inlineStr">
        <is>
          <t>%agent</t>
        </is>
      </c>
      <c r="G3" s="8" t="inlineStr">
        <is>
          <t>CFR%</t>
        </is>
      </c>
      <c r="H3" s="8" t="inlineStr">
        <is>
          <t>Rework%</t>
        </is>
      </c>
      <c r="I3" s="8" t="inlineStr">
        <is>
          <t>%AI review</t>
        </is>
      </c>
      <c r="J3" s="8" t="inlineStr">
        <is>
          <t>Coverage%</t>
        </is>
      </c>
      <c r="K3" s="8" t="inlineStr">
        <is>
          <t>Agent succ%</t>
        </is>
      </c>
      <c r="L3" s="8" t="inlineStr">
        <is>
          <t>Human interv%</t>
        </is>
      </c>
      <c r="M3" s="8" t="inlineStr">
        <is>
          <t>Autonomous%</t>
        </is>
      </c>
      <c r="N3" s="8" t="inlineStr">
        <is>
          <t>A</t>
        </is>
      </c>
      <c r="O3" s="8" t="inlineStr">
        <is>
          <t>B</t>
        </is>
      </c>
      <c r="P3" s="8" t="inlineStr">
        <is>
          <t>C</t>
        </is>
      </c>
      <c r="Q3" s="8" t="inlineStr">
        <is>
          <t>D</t>
        </is>
      </c>
      <c r="R3" s="8" t="inlineStr">
        <is>
          <t>E</t>
        </is>
      </c>
      <c r="S3" s="8" t="inlineStr">
        <is>
          <t>OVERALL</t>
        </is>
      </c>
      <c r="T3" s="8" t="inlineStr">
        <is>
          <t>Key</t>
        </is>
      </c>
      <c r="U3" s="8" t="inlineStr">
        <is>
          <t>a1</t>
        </is>
      </c>
      <c r="V3" s="8" t="inlineStr">
        <is>
          <t>a3</t>
        </is>
      </c>
      <c r="W3" s="8" t="inlineStr">
        <is>
          <t>b1</t>
        </is>
      </c>
      <c r="X3" s="8" t="inlineStr">
        <is>
          <t>b2</t>
        </is>
      </c>
      <c r="Y3" s="8" t="inlineStr">
        <is>
          <t>b3</t>
        </is>
      </c>
      <c r="Z3" s="8" t="inlineStr">
        <is>
          <t>c2</t>
        </is>
      </c>
      <c r="AA3" s="8" t="inlineStr">
        <is>
          <t>d1</t>
        </is>
      </c>
      <c r="AB3" s="8" t="inlineStr">
        <is>
          <t>d2</t>
        </is>
      </c>
    </row>
    <row r="4" ht="22.35" customHeight="1">
      <c r="A4" s="4">
        <f>'4. Quarterly'!A4</f>
        <v/>
      </c>
      <c r="B4" s="4">
        <f>'4. Quarterly'!B4</f>
        <v/>
      </c>
      <c r="C4" s="4">
        <f>IFERROR(VLOOKUP($A4,'2. Projects'!$A$3:$B$20,2,0),"")</f>
        <v/>
      </c>
      <c r="D4" s="21">
        <f>IF($A4="","",IFERROR(AVERAGEIFS('5. Metrics'!$D$4:$D$203,'5. Metrics'!$A$4:$A$203,$A4,'5. Metrics'!$C$4:$C$203,$B4),""))</f>
        <v/>
      </c>
      <c r="E4" s="21">
        <f>IF($A4="","",IFERROR(AVERAGEIFS('5. Metrics'!$E$4:$E$203,'5. Metrics'!$A$4:$A$203,$A4,'5. Metrics'!$C$4:$C$203,$B4),""))</f>
        <v/>
      </c>
      <c r="F4" s="21">
        <f>IF($A4="","",IFERROR(AVERAGEIFS('5. Metrics'!$F$4:$F$203,'5. Metrics'!$A$4:$A$203,$A4,'5. Metrics'!$C$4:$C$203,$B4),""))</f>
        <v/>
      </c>
      <c r="G4" s="21">
        <f>IF($A4="","",IFERROR(AVERAGEIFS('5. Metrics'!$I$4:$I$203,'5. Metrics'!$A$4:$A$203,$A4,'5. Metrics'!$C$4:$C$203,$B4),""))</f>
        <v/>
      </c>
      <c r="H4" s="21">
        <f>IF($A4="","",IFERROR(AVERAGEIFS('5. Metrics'!$L$4:$L$203,'5. Metrics'!$A$4:$A$203,$A4,'5. Metrics'!$C$4:$C$203,$B4),""))</f>
        <v/>
      </c>
      <c r="I4" s="21">
        <f>IF($A4="","",IFERROR(AVERAGEIFS('5. Metrics'!$M$4:$M$203,'5. Metrics'!$A$4:$A$203,$A4,'5. Metrics'!$C$4:$C$203,$B4),""))</f>
        <v/>
      </c>
      <c r="J4" s="21">
        <f>IF($A4="","",IFERROR(AVERAGEIFS('5. Metrics'!$N$4:$N$203,'5. Metrics'!$A$4:$A$203,$A4,'5. Metrics'!$C$4:$C$203,$B4),""))</f>
        <v/>
      </c>
      <c r="K4" s="21">
        <f>IF($A4="","",IFERROR(AVERAGEIFS('5. Metrics'!$P$4:$P$203,'5. Metrics'!$A$4:$A$203,$A4,'5. Metrics'!$C$4:$C$203,$B4),""))</f>
        <v/>
      </c>
      <c r="L4" s="21">
        <f>IF($A4="","",IFERROR(AVERAGEIFS('5. Metrics'!$Q$4:$Q$203,'5. Metrics'!$A$4:$A$203,$A4,'5. Metrics'!$C$4:$C$203,$B4),""))</f>
        <v/>
      </c>
      <c r="M4" s="21">
        <f>IF($A4="","",IFERROR(AVERAGEIFS('5. Metrics'!$R$4:$R$203,'5. Metrics'!$A$4:$A$203,$A4,'5. Metrics'!$C$4:$C$203,$B4),""))</f>
        <v/>
      </c>
      <c r="N4" s="24">
        <f>IF($A4="","",IF('4. Quarterly'!L4="Yes",5,IF(AND(ISNUMBER(E4),E4&gt;'10. Thresholds'!$B$4,V4="Yes"),4,IF(AND('4. Quarterly'!K4="Yes",ISNUMBER(E4),E4&gt;='10. Thresholds'!$B$3),3,IF(AND(U4="Yes",ISNUMBER(D4),D4&gt;='10. Thresholds'!$B$5),2,1)))))</f>
        <v/>
      </c>
      <c r="O4" s="24">
        <f>IF($A4="","",IF(AND('4. Quarterly'!P4="Yes",'4. Quarterly'!Q4="Yes",'4. Quarterly'!M4="Yes",'4. Quarterly'!N4="Yes",'4. Quarterly'!O4="Yes",X4="Yes",Y4="Yes"),5,IF(AND('4. Quarterly'!M4="Yes",'4. Quarterly'!N4="Yes",'4. Quarterly'!O4="Yes",X4="Yes",Y4="Yes"),4,IF(AND(X4="Yes",Y4="Yes"),3,IF(W4="Yes",2,1)))))</f>
        <v/>
      </c>
      <c r="P4" s="24">
        <f>IF($A4="","",IF(AND('4. Quarterly'!V4="Yes",'4. Quarterly'!W4="Yes",'4. Quarterly'!X4="Yes",'4. Quarterly'!S4="Yes",'4. Quarterly'!T4="Yes",'4. Quarterly'!U4="Yes",'4. Quarterly'!E4="Yes",Z4="Yes",'4. Quarterly'!R4="Yes"),5,IF(AND('4. Quarterly'!S4="Yes",'4. Quarterly'!T4="Yes",'4. Quarterly'!U4="Yes",'4. Quarterly'!E4="Yes",Z4="Yes",'4. Quarterly'!R4="Yes"),4,IF(AND('4. Quarterly'!E4="Yes",Z4="Yes",'4. Quarterly'!R4="Yes"),3,IF(OR(Z4="Yes",'4. Quarterly'!R4="Yes",'4. Quarterly'!E4="Yes"),2,1)))))</f>
        <v/>
      </c>
      <c r="Q4" s="24">
        <f>IF($A4="","",IF(AA4&lt;&gt;"Yes",1,IF(AB4&lt;&gt;"Yes",2,IF(AND('4. Quarterly'!AA4="Yes",'4. Quarterly'!Y4="Yes",'4. Quarterly'!Z4="Yes",ISNUMBER(M4),M4&gt;='10. Thresholds'!$B$7,ISNUMBER(L4),L4&lt;='10. Thresholds'!$B$8),5,IF(AND('4. Quarterly'!Y4="Yes",'4. Quarterly'!Z4="Yes",ISNUMBER(M4),M4&gt;='10. Thresholds'!$B$6),4,3)))))</f>
        <v/>
      </c>
      <c r="R4" s="24">
        <f>IF($A4="","",IF(AND('4. Quarterly'!C4="Yes",'4. Quarterly'!D4="Yes",'4. Quarterly'!E4="Yes",'4. Quarterly'!F4="Yes",'4. Quarterly'!G4="Yes",'4. Quarterly'!H4="Yes",'4. Quarterly'!I4="Yes",'4. Quarterly'!J4="Yes"),5,IF(AND('4. Quarterly'!C4="Yes",'4. Quarterly'!D4="Yes",'4. Quarterly'!E4="Yes",'4. Quarterly'!F4="Yes",'4. Quarterly'!G4="Yes"),4,IF(AND('4. Quarterly'!C4="Yes",'4. Quarterly'!D4="Yes",'4. Quarterly'!E4="Yes"),3,IF(COUNTIF('4. Quarterly'!C4:J4,"Yes")&gt;=2,2,1)))))</f>
        <v/>
      </c>
      <c r="S4" s="24">
        <f>IF($A4="","",MIN(R4,P4,ROUND(AVERAGE(N4,O4,P4,Q4,R4),0)))</f>
        <v/>
      </c>
      <c r="T4" s="4">
        <f>IF($A4="","",$A4&amp;"|"&amp;$B4)</f>
        <v/>
      </c>
      <c r="U4" s="4">
        <f>IF($A4="","No",IF(COUNTIFS('3. Monthly'!$A$4:$A$203,$A4,'3. Monthly'!$C$4:$C$203,$B4,'3. Monthly'!$E$4:$E$203,"&gt;0")&gt;0,"Yes","No"))</f>
        <v/>
      </c>
      <c r="V4" s="4">
        <f>IF($A4="","No",IF(COUNTIFS('3. Monthly'!$A$4:$A$203,$A4,'3. Monthly'!$C$4:$C$203,$B4,'3. Monthly'!$I$4:$I$203,"&gt;0")&gt;0,"Yes","No"))</f>
        <v/>
      </c>
      <c r="W4" s="4">
        <f>IF($A4="","No",IF(COUNTIFS('3. Monthly'!$A$4:$A$203,$A4,'3. Monthly'!$C$4:$C$203,$B4,'3. Monthly'!$K$4:$K$203,"&gt;=0",'3. Monthly'!$L$4:$L$203,"&gt;0")&gt;0,"Yes","No"))</f>
        <v/>
      </c>
      <c r="X4" s="4">
        <f>IF($A4="","No",IF(COUNTIFS('3. Monthly'!$A$4:$A$203,$A4,'3. Monthly'!$C$4:$C$203,$B4,'3. Monthly'!$J$4:$J$203,"&gt;=0",'3. Monthly'!$K$4:$K$203,"&gt;=0",'3. Monthly'!$M$4:$M$203,"&gt;=0",'3. Monthly'!$N$4:$N$203,"&gt;=0",'3. Monthly'!$L$4:$L$203,"&gt;0")&gt;0,"Yes","No"))</f>
        <v/>
      </c>
      <c r="Y4" s="4">
        <f>IF($A4="","No",IF(COUNTIFS('3. Monthly'!$A$4:$A$203,$A4,'3. Monthly'!$C$4:$C$203,$B4,'3. Monthly'!$O$4:$O$203,"&gt;0")&gt;0,"Yes","No"))</f>
        <v/>
      </c>
      <c r="Z4" s="4">
        <f>IF($A4="","No",IF(COUNTIFS('3. Monthly'!$A$4:$A$203,$A4,'3. Monthly'!$C$4:$C$203,$B4,'3. Monthly'!$Q$4:$Q$203,"&gt;=0",'3. Monthly'!$G$4:$G$203,"&gt;0")&gt;0,"Yes","No"))</f>
        <v/>
      </c>
      <c r="AA4" s="4">
        <f>IF($A4="","No",IF(COUNTIFS('3. Monthly'!$A$4:$A$203,$A4,'3. Monthly'!$C$4:$C$203,$B4,'3. Monthly'!$H$4:$H$203,"&gt;0")&gt;0,"Yes","No"))</f>
        <v/>
      </c>
      <c r="AB4" s="4">
        <f>IF($A4="","No",IF(COUNTIFS('3. Monthly'!$A$4:$A$203,$A4,'3. Monthly'!$C$4:$C$203,$B4,'3. Monthly'!$U$4:$U$203,"&gt;=0",'3. Monthly'!$V$4:$V$203,"&gt;=0",'3. Monthly'!$H$4:$H$203,"&gt;0")&gt;0,"Yes","No"))</f>
        <v/>
      </c>
    </row>
    <row r="5" ht="22.35" customHeight="1">
      <c r="A5" s="4">
        <f>'4. Quarterly'!A5</f>
        <v/>
      </c>
      <c r="B5" s="4">
        <f>'4. Quarterly'!B5</f>
        <v/>
      </c>
      <c r="C5" s="4">
        <f>IFERROR(VLOOKUP($A5,'2. Projects'!$A$3:$B$20,2,0),"")</f>
        <v/>
      </c>
      <c r="D5" s="21">
        <f>IF($A5="","",IFERROR(AVERAGEIFS('5. Metrics'!$D$4:$D$203,'5. Metrics'!$A$4:$A$203,$A5,'5. Metrics'!$C$4:$C$203,$B5),""))</f>
        <v/>
      </c>
      <c r="E5" s="21">
        <f>IF($A5="","",IFERROR(AVERAGEIFS('5. Metrics'!$E$4:$E$203,'5. Metrics'!$A$4:$A$203,$A5,'5. Metrics'!$C$4:$C$203,$B5),""))</f>
        <v/>
      </c>
      <c r="F5" s="21">
        <f>IF($A5="","",IFERROR(AVERAGEIFS('5. Metrics'!$F$4:$F$203,'5. Metrics'!$A$4:$A$203,$A5,'5. Metrics'!$C$4:$C$203,$B5),""))</f>
        <v/>
      </c>
      <c r="G5" s="21">
        <f>IF($A5="","",IFERROR(AVERAGEIFS('5. Metrics'!$I$4:$I$203,'5. Metrics'!$A$4:$A$203,$A5,'5. Metrics'!$C$4:$C$203,$B5),""))</f>
        <v/>
      </c>
      <c r="H5" s="21">
        <f>IF($A5="","",IFERROR(AVERAGEIFS('5. Metrics'!$L$4:$L$203,'5. Metrics'!$A$4:$A$203,$A5,'5. Metrics'!$C$4:$C$203,$B5),""))</f>
        <v/>
      </c>
      <c r="I5" s="21">
        <f>IF($A5="","",IFERROR(AVERAGEIFS('5. Metrics'!$M$4:$M$203,'5. Metrics'!$A$4:$A$203,$A5,'5. Metrics'!$C$4:$C$203,$B5),""))</f>
        <v/>
      </c>
      <c r="J5" s="21">
        <f>IF($A5="","",IFERROR(AVERAGEIFS('5. Metrics'!$N$4:$N$203,'5. Metrics'!$A$4:$A$203,$A5,'5. Metrics'!$C$4:$C$203,$B5),""))</f>
        <v/>
      </c>
      <c r="K5" s="21">
        <f>IF($A5="","",IFERROR(AVERAGEIFS('5. Metrics'!$P$4:$P$203,'5. Metrics'!$A$4:$A$203,$A5,'5. Metrics'!$C$4:$C$203,$B5),""))</f>
        <v/>
      </c>
      <c r="L5" s="21">
        <f>IF($A5="","",IFERROR(AVERAGEIFS('5. Metrics'!$Q$4:$Q$203,'5. Metrics'!$A$4:$A$203,$A5,'5. Metrics'!$C$4:$C$203,$B5),""))</f>
        <v/>
      </c>
      <c r="M5" s="21">
        <f>IF($A5="","",IFERROR(AVERAGEIFS('5. Metrics'!$R$4:$R$203,'5. Metrics'!$A$4:$A$203,$A5,'5. Metrics'!$C$4:$C$203,$B5),""))</f>
        <v/>
      </c>
      <c r="N5" s="24">
        <f>IF($A5="","",IF('4. Quarterly'!L5="Yes",5,IF(AND(ISNUMBER(E5),E5&gt;'10. Thresholds'!$B$4,V5="Yes"),4,IF(AND('4. Quarterly'!K5="Yes",ISNUMBER(E5),E5&gt;='10. Thresholds'!$B$3),3,IF(AND(U5="Yes",ISNUMBER(D5),D5&gt;='10. Thresholds'!$B$5),2,1)))))</f>
        <v/>
      </c>
      <c r="O5" s="24">
        <f>IF($A5="","",IF(AND('4. Quarterly'!P5="Yes",'4. Quarterly'!Q5="Yes",'4. Quarterly'!M5="Yes",'4. Quarterly'!N5="Yes",'4. Quarterly'!O5="Yes",X5="Yes",Y5="Yes"),5,IF(AND('4. Quarterly'!M5="Yes",'4. Quarterly'!N5="Yes",'4. Quarterly'!O5="Yes",X5="Yes",Y5="Yes"),4,IF(AND(X5="Yes",Y5="Yes"),3,IF(W5="Yes",2,1)))))</f>
        <v/>
      </c>
      <c r="P5" s="24">
        <f>IF($A5="","",IF(AND('4. Quarterly'!V5="Yes",'4. Quarterly'!W5="Yes",'4. Quarterly'!X5="Yes",'4. Quarterly'!S5="Yes",'4. Quarterly'!T5="Yes",'4. Quarterly'!U5="Yes",'4. Quarterly'!E5="Yes",Z5="Yes",'4. Quarterly'!R5="Yes"),5,IF(AND('4. Quarterly'!S5="Yes",'4. Quarterly'!T5="Yes",'4. Quarterly'!U5="Yes",'4. Quarterly'!E5="Yes",Z5="Yes",'4. Quarterly'!R5="Yes"),4,IF(AND('4. Quarterly'!E5="Yes",Z5="Yes",'4. Quarterly'!R5="Yes"),3,IF(OR(Z5="Yes",'4. Quarterly'!R5="Yes",'4. Quarterly'!E5="Yes"),2,1)))))</f>
        <v/>
      </c>
      <c r="Q5" s="24">
        <f>IF($A5="","",IF(AA5&lt;&gt;"Yes",1,IF(AB5&lt;&gt;"Yes",2,IF(AND('4. Quarterly'!AA5="Yes",'4. Quarterly'!Y5="Yes",'4. Quarterly'!Z5="Yes",ISNUMBER(M5),M5&gt;='10. Thresholds'!$B$7,ISNUMBER(L5),L5&lt;='10. Thresholds'!$B$8),5,IF(AND('4. Quarterly'!Y5="Yes",'4. Quarterly'!Z5="Yes",ISNUMBER(M5),M5&gt;='10. Thresholds'!$B$6),4,3)))))</f>
        <v/>
      </c>
      <c r="R5" s="24">
        <f>IF($A5="","",IF(AND('4. Quarterly'!C5="Yes",'4. Quarterly'!D5="Yes",'4. Quarterly'!E5="Yes",'4. Quarterly'!F5="Yes",'4. Quarterly'!G5="Yes",'4. Quarterly'!H5="Yes",'4. Quarterly'!I5="Yes",'4. Quarterly'!J5="Yes"),5,IF(AND('4. Quarterly'!C5="Yes",'4. Quarterly'!D5="Yes",'4. Quarterly'!E5="Yes",'4. Quarterly'!F5="Yes",'4. Quarterly'!G5="Yes"),4,IF(AND('4. Quarterly'!C5="Yes",'4. Quarterly'!D5="Yes",'4. Quarterly'!E5="Yes"),3,IF(COUNTIF('4. Quarterly'!C5:J5,"Yes")&gt;=2,2,1)))))</f>
        <v/>
      </c>
      <c r="S5" s="24">
        <f>IF($A5="","",MIN(R5,P5,ROUND(AVERAGE(N5,O5,P5,Q5,R5),0)))</f>
        <v/>
      </c>
      <c r="T5" s="4">
        <f>IF($A5="","",$A5&amp;"|"&amp;$B5)</f>
        <v/>
      </c>
      <c r="U5" s="4">
        <f>IF($A5="","No",IF(COUNTIFS('3. Monthly'!$A$4:$A$203,$A5,'3. Monthly'!$C$4:$C$203,$B5,'3. Monthly'!$E$4:$E$203,"&gt;0")&gt;0,"Yes","No"))</f>
        <v/>
      </c>
      <c r="V5" s="4">
        <f>IF($A5="","No",IF(COUNTIFS('3. Monthly'!$A$4:$A$203,$A5,'3. Monthly'!$C$4:$C$203,$B5,'3. Monthly'!$I$4:$I$203,"&gt;0")&gt;0,"Yes","No"))</f>
        <v/>
      </c>
      <c r="W5" s="4">
        <f>IF($A5="","No",IF(COUNTIFS('3. Monthly'!$A$4:$A$203,$A5,'3. Monthly'!$C$4:$C$203,$B5,'3. Monthly'!$K$4:$K$203,"&gt;=0",'3. Monthly'!$L$4:$L$203,"&gt;0")&gt;0,"Yes","No"))</f>
        <v/>
      </c>
      <c r="X5" s="4">
        <f>IF($A5="","No",IF(COUNTIFS('3. Monthly'!$A$4:$A$203,$A5,'3. Monthly'!$C$4:$C$203,$B5,'3. Monthly'!$J$4:$J$203,"&gt;=0",'3. Monthly'!$K$4:$K$203,"&gt;=0",'3. Monthly'!$M$4:$M$203,"&gt;=0",'3. Monthly'!$N$4:$N$203,"&gt;=0",'3. Monthly'!$L$4:$L$203,"&gt;0")&gt;0,"Yes","No"))</f>
        <v/>
      </c>
      <c r="Y5" s="4">
        <f>IF($A5="","No",IF(COUNTIFS('3. Monthly'!$A$4:$A$203,$A5,'3. Monthly'!$C$4:$C$203,$B5,'3. Monthly'!$O$4:$O$203,"&gt;0")&gt;0,"Yes","No"))</f>
        <v/>
      </c>
      <c r="Z5" s="4">
        <f>IF($A5="","No",IF(COUNTIFS('3. Monthly'!$A$4:$A$203,$A5,'3. Monthly'!$C$4:$C$203,$B5,'3. Monthly'!$Q$4:$Q$203,"&gt;=0",'3. Monthly'!$G$4:$G$203,"&gt;0")&gt;0,"Yes","No"))</f>
        <v/>
      </c>
      <c r="AA5" s="4">
        <f>IF($A5="","No",IF(COUNTIFS('3. Monthly'!$A$4:$A$203,$A5,'3. Monthly'!$C$4:$C$203,$B5,'3. Monthly'!$H$4:$H$203,"&gt;0")&gt;0,"Yes","No"))</f>
        <v/>
      </c>
      <c r="AB5" s="4">
        <f>IF($A5="","No",IF(COUNTIFS('3. Monthly'!$A$4:$A$203,$A5,'3. Monthly'!$C$4:$C$203,$B5,'3. Monthly'!$U$4:$U$203,"&gt;=0",'3. Monthly'!$V$4:$V$203,"&gt;=0",'3. Monthly'!$H$4:$H$203,"&gt;0")&gt;0,"Yes","No"))</f>
        <v/>
      </c>
    </row>
    <row r="6" ht="22.35" customHeight="1">
      <c r="A6" s="4">
        <f>'4. Quarterly'!A6</f>
        <v/>
      </c>
      <c r="B6" s="4">
        <f>'4. Quarterly'!B6</f>
        <v/>
      </c>
      <c r="C6" s="4">
        <f>IFERROR(VLOOKUP($A6,'2. Projects'!$A$3:$B$20,2,0),"")</f>
        <v/>
      </c>
      <c r="D6" s="21">
        <f>IF($A6="","",IFERROR(AVERAGEIFS('5. Metrics'!$D$4:$D$203,'5. Metrics'!$A$4:$A$203,$A6,'5. Metrics'!$C$4:$C$203,$B6),""))</f>
        <v/>
      </c>
      <c r="E6" s="21">
        <f>IF($A6="","",IFERROR(AVERAGEIFS('5. Metrics'!$E$4:$E$203,'5. Metrics'!$A$4:$A$203,$A6,'5. Metrics'!$C$4:$C$203,$B6),""))</f>
        <v/>
      </c>
      <c r="F6" s="21">
        <f>IF($A6="","",IFERROR(AVERAGEIFS('5. Metrics'!$F$4:$F$203,'5. Metrics'!$A$4:$A$203,$A6,'5. Metrics'!$C$4:$C$203,$B6),""))</f>
        <v/>
      </c>
      <c r="G6" s="21">
        <f>IF($A6="","",IFERROR(AVERAGEIFS('5. Metrics'!$I$4:$I$203,'5. Metrics'!$A$4:$A$203,$A6,'5. Metrics'!$C$4:$C$203,$B6),""))</f>
        <v/>
      </c>
      <c r="H6" s="21">
        <f>IF($A6="","",IFERROR(AVERAGEIFS('5. Metrics'!$L$4:$L$203,'5. Metrics'!$A$4:$A$203,$A6,'5. Metrics'!$C$4:$C$203,$B6),""))</f>
        <v/>
      </c>
      <c r="I6" s="21">
        <f>IF($A6="","",IFERROR(AVERAGEIFS('5. Metrics'!$M$4:$M$203,'5. Metrics'!$A$4:$A$203,$A6,'5. Metrics'!$C$4:$C$203,$B6),""))</f>
        <v/>
      </c>
      <c r="J6" s="21">
        <f>IF($A6="","",IFERROR(AVERAGEIFS('5. Metrics'!$N$4:$N$203,'5. Metrics'!$A$4:$A$203,$A6,'5. Metrics'!$C$4:$C$203,$B6),""))</f>
        <v/>
      </c>
      <c r="K6" s="21">
        <f>IF($A6="","",IFERROR(AVERAGEIFS('5. Metrics'!$P$4:$P$203,'5. Metrics'!$A$4:$A$203,$A6,'5. Metrics'!$C$4:$C$203,$B6),""))</f>
        <v/>
      </c>
      <c r="L6" s="21">
        <f>IF($A6="","",IFERROR(AVERAGEIFS('5. Metrics'!$Q$4:$Q$203,'5. Metrics'!$A$4:$A$203,$A6,'5. Metrics'!$C$4:$C$203,$B6),""))</f>
        <v/>
      </c>
      <c r="M6" s="21">
        <f>IF($A6="","",IFERROR(AVERAGEIFS('5. Metrics'!$R$4:$R$203,'5. Metrics'!$A$4:$A$203,$A6,'5. Metrics'!$C$4:$C$203,$B6),""))</f>
        <v/>
      </c>
      <c r="N6" s="24">
        <f>IF($A6="","",IF('4. Quarterly'!L6="Yes",5,IF(AND(ISNUMBER(E6),E6&gt;'10. Thresholds'!$B$4,V6="Yes"),4,IF(AND('4. Quarterly'!K6="Yes",ISNUMBER(E6),E6&gt;='10. Thresholds'!$B$3),3,IF(AND(U6="Yes",ISNUMBER(D6),D6&gt;='10. Thresholds'!$B$5),2,1)))))</f>
        <v/>
      </c>
      <c r="O6" s="24">
        <f>IF($A6="","",IF(AND('4. Quarterly'!P6="Yes",'4. Quarterly'!Q6="Yes",'4. Quarterly'!M6="Yes",'4. Quarterly'!N6="Yes",'4. Quarterly'!O6="Yes",X6="Yes",Y6="Yes"),5,IF(AND('4. Quarterly'!M6="Yes",'4. Quarterly'!N6="Yes",'4. Quarterly'!O6="Yes",X6="Yes",Y6="Yes"),4,IF(AND(X6="Yes",Y6="Yes"),3,IF(W6="Yes",2,1)))))</f>
        <v/>
      </c>
      <c r="P6" s="24">
        <f>IF($A6="","",IF(AND('4. Quarterly'!V6="Yes",'4. Quarterly'!W6="Yes",'4. Quarterly'!X6="Yes",'4. Quarterly'!S6="Yes",'4. Quarterly'!T6="Yes",'4. Quarterly'!U6="Yes",'4. Quarterly'!E6="Yes",Z6="Yes",'4. Quarterly'!R6="Yes"),5,IF(AND('4. Quarterly'!S6="Yes",'4. Quarterly'!T6="Yes",'4. Quarterly'!U6="Yes",'4. Quarterly'!E6="Yes",Z6="Yes",'4. Quarterly'!R6="Yes"),4,IF(AND('4. Quarterly'!E6="Yes",Z6="Yes",'4. Quarterly'!R6="Yes"),3,IF(OR(Z6="Yes",'4. Quarterly'!R6="Yes",'4. Quarterly'!E6="Yes"),2,1)))))</f>
        <v/>
      </c>
      <c r="Q6" s="24">
        <f>IF($A6="","",IF(AA6&lt;&gt;"Yes",1,IF(AB6&lt;&gt;"Yes",2,IF(AND('4. Quarterly'!AA6="Yes",'4. Quarterly'!Y6="Yes",'4. Quarterly'!Z6="Yes",ISNUMBER(M6),M6&gt;='10. Thresholds'!$B$7,ISNUMBER(L6),L6&lt;='10. Thresholds'!$B$8),5,IF(AND('4. Quarterly'!Y6="Yes",'4. Quarterly'!Z6="Yes",ISNUMBER(M6),M6&gt;='10. Thresholds'!$B$6),4,3)))))</f>
        <v/>
      </c>
      <c r="R6" s="24">
        <f>IF($A6="","",IF(AND('4. Quarterly'!C6="Yes",'4. Quarterly'!D6="Yes",'4. Quarterly'!E6="Yes",'4. Quarterly'!F6="Yes",'4. Quarterly'!G6="Yes",'4. Quarterly'!H6="Yes",'4. Quarterly'!I6="Yes",'4. Quarterly'!J6="Yes"),5,IF(AND('4. Quarterly'!C6="Yes",'4. Quarterly'!D6="Yes",'4. Quarterly'!E6="Yes",'4. Quarterly'!F6="Yes",'4. Quarterly'!G6="Yes"),4,IF(AND('4. Quarterly'!C6="Yes",'4. Quarterly'!D6="Yes",'4. Quarterly'!E6="Yes"),3,IF(COUNTIF('4. Quarterly'!C6:J6,"Yes")&gt;=2,2,1)))))</f>
        <v/>
      </c>
      <c r="S6" s="24">
        <f>IF($A6="","",MIN(R6,P6,ROUND(AVERAGE(N6,O6,P6,Q6,R6),0)))</f>
        <v/>
      </c>
      <c r="T6" s="4">
        <f>IF($A6="","",$A6&amp;"|"&amp;$B6)</f>
        <v/>
      </c>
      <c r="U6" s="4">
        <f>IF($A6="","No",IF(COUNTIFS('3. Monthly'!$A$4:$A$203,$A6,'3. Monthly'!$C$4:$C$203,$B6,'3. Monthly'!$E$4:$E$203,"&gt;0")&gt;0,"Yes","No"))</f>
        <v/>
      </c>
      <c r="V6" s="4">
        <f>IF($A6="","No",IF(COUNTIFS('3. Monthly'!$A$4:$A$203,$A6,'3. Monthly'!$C$4:$C$203,$B6,'3. Monthly'!$I$4:$I$203,"&gt;0")&gt;0,"Yes","No"))</f>
        <v/>
      </c>
      <c r="W6" s="4">
        <f>IF($A6="","No",IF(COUNTIFS('3. Monthly'!$A$4:$A$203,$A6,'3. Monthly'!$C$4:$C$203,$B6,'3. Monthly'!$K$4:$K$203,"&gt;=0",'3. Monthly'!$L$4:$L$203,"&gt;0")&gt;0,"Yes","No"))</f>
        <v/>
      </c>
      <c r="X6" s="4">
        <f>IF($A6="","No",IF(COUNTIFS('3. Monthly'!$A$4:$A$203,$A6,'3. Monthly'!$C$4:$C$203,$B6,'3. Monthly'!$J$4:$J$203,"&gt;=0",'3. Monthly'!$K$4:$K$203,"&gt;=0",'3. Monthly'!$M$4:$M$203,"&gt;=0",'3. Monthly'!$N$4:$N$203,"&gt;=0",'3. Monthly'!$L$4:$L$203,"&gt;0")&gt;0,"Yes","No"))</f>
        <v/>
      </c>
      <c r="Y6" s="4">
        <f>IF($A6="","No",IF(COUNTIFS('3. Monthly'!$A$4:$A$203,$A6,'3. Monthly'!$C$4:$C$203,$B6,'3. Monthly'!$O$4:$O$203,"&gt;0")&gt;0,"Yes","No"))</f>
        <v/>
      </c>
      <c r="Z6" s="4">
        <f>IF($A6="","No",IF(COUNTIFS('3. Monthly'!$A$4:$A$203,$A6,'3. Monthly'!$C$4:$C$203,$B6,'3. Monthly'!$Q$4:$Q$203,"&gt;=0",'3. Monthly'!$G$4:$G$203,"&gt;0")&gt;0,"Yes","No"))</f>
        <v/>
      </c>
      <c r="AA6" s="4">
        <f>IF($A6="","No",IF(COUNTIFS('3. Monthly'!$A$4:$A$203,$A6,'3. Monthly'!$C$4:$C$203,$B6,'3. Monthly'!$H$4:$H$203,"&gt;0")&gt;0,"Yes","No"))</f>
        <v/>
      </c>
      <c r="AB6" s="4">
        <f>IF($A6="","No",IF(COUNTIFS('3. Monthly'!$A$4:$A$203,$A6,'3. Monthly'!$C$4:$C$203,$B6,'3. Monthly'!$U$4:$U$203,"&gt;=0",'3. Monthly'!$V$4:$V$203,"&gt;=0",'3. Monthly'!$H$4:$H$203,"&gt;0")&gt;0,"Yes","No"))</f>
        <v/>
      </c>
    </row>
    <row r="7">
      <c r="A7" s="4">
        <f>'4. Quarterly'!A7</f>
        <v/>
      </c>
      <c r="B7" s="4">
        <f>'4. Quarterly'!B7</f>
        <v/>
      </c>
      <c r="C7" s="4">
        <f>IFERROR(VLOOKUP($A7,'2. Projects'!$A$3:$B$20,2,0),"")</f>
        <v/>
      </c>
      <c r="D7" s="21">
        <f>IF($A7="","",IFERROR(AVERAGEIFS('5. Metrics'!$D$4:$D$203,'5. Metrics'!$A$4:$A$203,$A7,'5. Metrics'!$C$4:$C$203,$B7),""))</f>
        <v/>
      </c>
      <c r="E7" s="21">
        <f>IF($A7="","",IFERROR(AVERAGEIFS('5. Metrics'!$E$4:$E$203,'5. Metrics'!$A$4:$A$203,$A7,'5. Metrics'!$C$4:$C$203,$B7),""))</f>
        <v/>
      </c>
      <c r="F7" s="21">
        <f>IF($A7="","",IFERROR(AVERAGEIFS('5. Metrics'!$F$4:$F$203,'5. Metrics'!$A$4:$A$203,$A7,'5. Metrics'!$C$4:$C$203,$B7),""))</f>
        <v/>
      </c>
      <c r="G7" s="21">
        <f>IF($A7="","",IFERROR(AVERAGEIFS('5. Metrics'!$I$4:$I$203,'5. Metrics'!$A$4:$A$203,$A7,'5. Metrics'!$C$4:$C$203,$B7),""))</f>
        <v/>
      </c>
      <c r="H7" s="21">
        <f>IF($A7="","",IFERROR(AVERAGEIFS('5. Metrics'!$L$4:$L$203,'5. Metrics'!$A$4:$A$203,$A7,'5. Metrics'!$C$4:$C$203,$B7),""))</f>
        <v/>
      </c>
      <c r="I7" s="21">
        <f>IF($A7="","",IFERROR(AVERAGEIFS('5. Metrics'!$M$4:$M$203,'5. Metrics'!$A$4:$A$203,$A7,'5. Metrics'!$C$4:$C$203,$B7),""))</f>
        <v/>
      </c>
      <c r="J7" s="21">
        <f>IF($A7="","",IFERROR(AVERAGEIFS('5. Metrics'!$N$4:$N$203,'5. Metrics'!$A$4:$A$203,$A7,'5. Metrics'!$C$4:$C$203,$B7),""))</f>
        <v/>
      </c>
      <c r="K7" s="21">
        <f>IF($A7="","",IFERROR(AVERAGEIFS('5. Metrics'!$P$4:$P$203,'5. Metrics'!$A$4:$A$203,$A7,'5. Metrics'!$C$4:$C$203,$B7),""))</f>
        <v/>
      </c>
      <c r="L7" s="21">
        <f>IF($A7="","",IFERROR(AVERAGEIFS('5. Metrics'!$Q$4:$Q$203,'5. Metrics'!$A$4:$A$203,$A7,'5. Metrics'!$C$4:$C$203,$B7),""))</f>
        <v/>
      </c>
      <c r="M7" s="21">
        <f>IF($A7="","",IFERROR(AVERAGEIFS('5. Metrics'!$R$4:$R$203,'5. Metrics'!$A$4:$A$203,$A7,'5. Metrics'!$C$4:$C$203,$B7),""))</f>
        <v/>
      </c>
      <c r="N7" s="24">
        <f>IF($A7="","",IF('4. Quarterly'!L7="Yes",5,IF(AND(ISNUMBER(E7),E7&gt;'10. Thresholds'!$B$4,V7="Yes"),4,IF(AND('4. Quarterly'!K7="Yes",ISNUMBER(E7),E7&gt;='10. Thresholds'!$B$3),3,IF(AND(U7="Yes",ISNUMBER(D7),D7&gt;='10. Thresholds'!$B$5),2,1)))))</f>
        <v/>
      </c>
      <c r="O7" s="24">
        <f>IF($A7="","",IF(AND('4. Quarterly'!P7="Yes",'4. Quarterly'!Q7="Yes",'4. Quarterly'!M7="Yes",'4. Quarterly'!N7="Yes",'4. Quarterly'!O7="Yes",X7="Yes",Y7="Yes"),5,IF(AND('4. Quarterly'!M7="Yes",'4. Quarterly'!N7="Yes",'4. Quarterly'!O7="Yes",X7="Yes",Y7="Yes"),4,IF(AND(X7="Yes",Y7="Yes"),3,IF(W7="Yes",2,1)))))</f>
        <v/>
      </c>
      <c r="P7" s="24">
        <f>IF($A7="","",IF(AND('4. Quarterly'!V7="Yes",'4. Quarterly'!W7="Yes",'4. Quarterly'!X7="Yes",'4. Quarterly'!S7="Yes",'4. Quarterly'!T7="Yes",'4. Quarterly'!U7="Yes",'4. Quarterly'!E7="Yes",Z7="Yes",'4. Quarterly'!R7="Yes"),5,IF(AND('4. Quarterly'!S7="Yes",'4. Quarterly'!T7="Yes",'4. Quarterly'!U7="Yes",'4. Quarterly'!E7="Yes",Z7="Yes",'4. Quarterly'!R7="Yes"),4,IF(AND('4. Quarterly'!E7="Yes",Z7="Yes",'4. Quarterly'!R7="Yes"),3,IF(OR(Z7="Yes",'4. Quarterly'!R7="Yes",'4. Quarterly'!E7="Yes"),2,1)))))</f>
        <v/>
      </c>
      <c r="Q7" s="24">
        <f>IF($A7="","",IF(AA7&lt;&gt;"Yes",1,IF(AB7&lt;&gt;"Yes",2,IF(AND('4. Quarterly'!AA7="Yes",'4. Quarterly'!Y7="Yes",'4. Quarterly'!Z7="Yes",ISNUMBER(M7),M7&gt;='10. Thresholds'!$B$7,ISNUMBER(L7),L7&lt;='10. Thresholds'!$B$8),5,IF(AND('4. Quarterly'!Y7="Yes",'4. Quarterly'!Z7="Yes",ISNUMBER(M7),M7&gt;='10. Thresholds'!$B$6),4,3)))))</f>
        <v/>
      </c>
      <c r="R7" s="24">
        <f>IF($A7="","",IF(AND('4. Quarterly'!C7="Yes",'4. Quarterly'!D7="Yes",'4. Quarterly'!E7="Yes",'4. Quarterly'!F7="Yes",'4. Quarterly'!G7="Yes",'4. Quarterly'!H7="Yes",'4. Quarterly'!I7="Yes",'4. Quarterly'!J7="Yes"),5,IF(AND('4. Quarterly'!C7="Yes",'4. Quarterly'!D7="Yes",'4. Quarterly'!E7="Yes",'4. Quarterly'!F7="Yes",'4. Quarterly'!G7="Yes"),4,IF(AND('4. Quarterly'!C7="Yes",'4. Quarterly'!D7="Yes",'4. Quarterly'!E7="Yes"),3,IF(COUNTIF('4. Quarterly'!C7:J7,"Yes")&gt;=2,2,1)))))</f>
        <v/>
      </c>
      <c r="S7" s="24">
        <f>IF($A7="","",MIN(R7,P7,ROUND(AVERAGE(N7,O7,P7,Q7,R7),0)))</f>
        <v/>
      </c>
      <c r="T7" s="4">
        <f>IF($A7="","",$A7&amp;"|"&amp;$B7)</f>
        <v/>
      </c>
      <c r="U7" s="4">
        <f>IF($A7="","No",IF(COUNTIFS('3. Monthly'!$A$4:$A$203,$A7,'3. Monthly'!$C$4:$C$203,$B7,'3. Monthly'!$E$4:$E$203,"&gt;0")&gt;0,"Yes","No"))</f>
        <v/>
      </c>
      <c r="V7" s="4">
        <f>IF($A7="","No",IF(COUNTIFS('3. Monthly'!$A$4:$A$203,$A7,'3. Monthly'!$C$4:$C$203,$B7,'3. Monthly'!$I$4:$I$203,"&gt;0")&gt;0,"Yes","No"))</f>
        <v/>
      </c>
      <c r="W7" s="4">
        <f>IF($A7="","No",IF(COUNTIFS('3. Monthly'!$A$4:$A$203,$A7,'3. Monthly'!$C$4:$C$203,$B7,'3. Monthly'!$K$4:$K$203,"&gt;=0",'3. Monthly'!$L$4:$L$203,"&gt;0")&gt;0,"Yes","No"))</f>
        <v/>
      </c>
      <c r="X7" s="4">
        <f>IF($A7="","No",IF(COUNTIFS('3. Monthly'!$A$4:$A$203,$A7,'3. Monthly'!$C$4:$C$203,$B7,'3. Monthly'!$J$4:$J$203,"&gt;=0",'3. Monthly'!$K$4:$K$203,"&gt;=0",'3. Monthly'!$M$4:$M$203,"&gt;=0",'3. Monthly'!$N$4:$N$203,"&gt;=0",'3. Monthly'!$L$4:$L$203,"&gt;0")&gt;0,"Yes","No"))</f>
        <v/>
      </c>
      <c r="Y7" s="4">
        <f>IF($A7="","No",IF(COUNTIFS('3. Monthly'!$A$4:$A$203,$A7,'3. Monthly'!$C$4:$C$203,$B7,'3. Monthly'!$O$4:$O$203,"&gt;0")&gt;0,"Yes","No"))</f>
        <v/>
      </c>
      <c r="Z7" s="4">
        <f>IF($A7="","No",IF(COUNTIFS('3. Monthly'!$A$4:$A$203,$A7,'3. Monthly'!$C$4:$C$203,$B7,'3. Monthly'!$Q$4:$Q$203,"&gt;=0",'3. Monthly'!$G$4:$G$203,"&gt;0")&gt;0,"Yes","No"))</f>
        <v/>
      </c>
      <c r="AA7" s="4">
        <f>IF($A7="","No",IF(COUNTIFS('3. Monthly'!$A$4:$A$203,$A7,'3. Monthly'!$C$4:$C$203,$B7,'3. Monthly'!$H$4:$H$203,"&gt;0")&gt;0,"Yes","No"))</f>
        <v/>
      </c>
      <c r="AB7" s="4">
        <f>IF($A7="","No",IF(COUNTIFS('3. Monthly'!$A$4:$A$203,$A7,'3. Monthly'!$C$4:$C$203,$B7,'3. Monthly'!$U$4:$U$203,"&gt;=0",'3. Monthly'!$V$4:$V$203,"&gt;=0",'3. Monthly'!$H$4:$H$203,"&gt;0")&gt;0,"Yes","No"))</f>
        <v/>
      </c>
    </row>
    <row r="8">
      <c r="A8" s="4">
        <f>'4. Quarterly'!A8</f>
        <v/>
      </c>
      <c r="B8" s="4">
        <f>'4. Quarterly'!B8</f>
        <v/>
      </c>
      <c r="C8" s="4">
        <f>IFERROR(VLOOKUP($A8,'2. Projects'!$A$3:$B$20,2,0),"")</f>
        <v/>
      </c>
      <c r="D8" s="21">
        <f>IF($A8="","",IFERROR(AVERAGEIFS('5. Metrics'!$D$4:$D$203,'5. Metrics'!$A$4:$A$203,$A8,'5. Metrics'!$C$4:$C$203,$B8),""))</f>
        <v/>
      </c>
      <c r="E8" s="21">
        <f>IF($A8="","",IFERROR(AVERAGEIFS('5. Metrics'!$E$4:$E$203,'5. Metrics'!$A$4:$A$203,$A8,'5. Metrics'!$C$4:$C$203,$B8),""))</f>
        <v/>
      </c>
      <c r="F8" s="21">
        <f>IF($A8="","",IFERROR(AVERAGEIFS('5. Metrics'!$F$4:$F$203,'5. Metrics'!$A$4:$A$203,$A8,'5. Metrics'!$C$4:$C$203,$B8),""))</f>
        <v/>
      </c>
      <c r="G8" s="21">
        <f>IF($A8="","",IFERROR(AVERAGEIFS('5. Metrics'!$I$4:$I$203,'5. Metrics'!$A$4:$A$203,$A8,'5. Metrics'!$C$4:$C$203,$B8),""))</f>
        <v/>
      </c>
      <c r="H8" s="21">
        <f>IF($A8="","",IFERROR(AVERAGEIFS('5. Metrics'!$L$4:$L$203,'5. Metrics'!$A$4:$A$203,$A8,'5. Metrics'!$C$4:$C$203,$B8),""))</f>
        <v/>
      </c>
      <c r="I8" s="21">
        <f>IF($A8="","",IFERROR(AVERAGEIFS('5. Metrics'!$M$4:$M$203,'5. Metrics'!$A$4:$A$203,$A8,'5. Metrics'!$C$4:$C$203,$B8),""))</f>
        <v/>
      </c>
      <c r="J8" s="21">
        <f>IF($A8="","",IFERROR(AVERAGEIFS('5. Metrics'!$N$4:$N$203,'5. Metrics'!$A$4:$A$203,$A8,'5. Metrics'!$C$4:$C$203,$B8),""))</f>
        <v/>
      </c>
      <c r="K8" s="21">
        <f>IF($A8="","",IFERROR(AVERAGEIFS('5. Metrics'!$P$4:$P$203,'5. Metrics'!$A$4:$A$203,$A8,'5. Metrics'!$C$4:$C$203,$B8),""))</f>
        <v/>
      </c>
      <c r="L8" s="21">
        <f>IF($A8="","",IFERROR(AVERAGEIFS('5. Metrics'!$Q$4:$Q$203,'5. Metrics'!$A$4:$A$203,$A8,'5. Metrics'!$C$4:$C$203,$B8),""))</f>
        <v/>
      </c>
      <c r="M8" s="21">
        <f>IF($A8="","",IFERROR(AVERAGEIFS('5. Metrics'!$R$4:$R$203,'5. Metrics'!$A$4:$A$203,$A8,'5. Metrics'!$C$4:$C$203,$B8),""))</f>
        <v/>
      </c>
      <c r="N8" s="24">
        <f>IF($A8="","",IF('4. Quarterly'!L8="Yes",5,IF(AND(ISNUMBER(E8),E8&gt;'10. Thresholds'!$B$4,V8="Yes"),4,IF(AND('4. Quarterly'!K8="Yes",ISNUMBER(E8),E8&gt;='10. Thresholds'!$B$3),3,IF(AND(U8="Yes",ISNUMBER(D8),D8&gt;='10. Thresholds'!$B$5),2,1)))))</f>
        <v/>
      </c>
      <c r="O8" s="24">
        <f>IF($A8="","",IF(AND('4. Quarterly'!P8="Yes",'4. Quarterly'!Q8="Yes",'4. Quarterly'!M8="Yes",'4. Quarterly'!N8="Yes",'4. Quarterly'!O8="Yes",X8="Yes",Y8="Yes"),5,IF(AND('4. Quarterly'!M8="Yes",'4. Quarterly'!N8="Yes",'4. Quarterly'!O8="Yes",X8="Yes",Y8="Yes"),4,IF(AND(X8="Yes",Y8="Yes"),3,IF(W8="Yes",2,1)))))</f>
        <v/>
      </c>
      <c r="P8" s="24">
        <f>IF($A8="","",IF(AND('4. Quarterly'!V8="Yes",'4. Quarterly'!W8="Yes",'4. Quarterly'!X8="Yes",'4. Quarterly'!S8="Yes",'4. Quarterly'!T8="Yes",'4. Quarterly'!U8="Yes",'4. Quarterly'!E8="Yes",Z8="Yes",'4. Quarterly'!R8="Yes"),5,IF(AND('4. Quarterly'!S8="Yes",'4. Quarterly'!T8="Yes",'4. Quarterly'!U8="Yes",'4. Quarterly'!E8="Yes",Z8="Yes",'4. Quarterly'!R8="Yes"),4,IF(AND('4. Quarterly'!E8="Yes",Z8="Yes",'4. Quarterly'!R8="Yes"),3,IF(OR(Z8="Yes",'4. Quarterly'!R8="Yes",'4. Quarterly'!E8="Yes"),2,1)))))</f>
        <v/>
      </c>
      <c r="Q8" s="24">
        <f>IF($A8="","",IF(AA8&lt;&gt;"Yes",1,IF(AB8&lt;&gt;"Yes",2,IF(AND('4. Quarterly'!AA8="Yes",'4. Quarterly'!Y8="Yes",'4. Quarterly'!Z8="Yes",ISNUMBER(M8),M8&gt;='10. Thresholds'!$B$7,ISNUMBER(L8),L8&lt;='10. Thresholds'!$B$8),5,IF(AND('4. Quarterly'!Y8="Yes",'4. Quarterly'!Z8="Yes",ISNUMBER(M8),M8&gt;='10. Thresholds'!$B$6),4,3)))))</f>
        <v/>
      </c>
      <c r="R8" s="24">
        <f>IF($A8="","",IF(AND('4. Quarterly'!C8="Yes",'4. Quarterly'!D8="Yes",'4. Quarterly'!E8="Yes",'4. Quarterly'!F8="Yes",'4. Quarterly'!G8="Yes",'4. Quarterly'!H8="Yes",'4. Quarterly'!I8="Yes",'4. Quarterly'!J8="Yes"),5,IF(AND('4. Quarterly'!C8="Yes",'4. Quarterly'!D8="Yes",'4. Quarterly'!E8="Yes",'4. Quarterly'!F8="Yes",'4. Quarterly'!G8="Yes"),4,IF(AND('4. Quarterly'!C8="Yes",'4. Quarterly'!D8="Yes",'4. Quarterly'!E8="Yes"),3,IF(COUNTIF('4. Quarterly'!C8:J8,"Yes")&gt;=2,2,1)))))</f>
        <v/>
      </c>
      <c r="S8" s="24">
        <f>IF($A8="","",MIN(R8,P8,ROUND(AVERAGE(N8,O8,P8,Q8,R8),0)))</f>
        <v/>
      </c>
      <c r="T8" s="4">
        <f>IF($A8="","",$A8&amp;"|"&amp;$B8)</f>
        <v/>
      </c>
      <c r="U8" s="4">
        <f>IF($A8="","No",IF(COUNTIFS('3. Monthly'!$A$4:$A$203,$A8,'3. Monthly'!$C$4:$C$203,$B8,'3. Monthly'!$E$4:$E$203,"&gt;0")&gt;0,"Yes","No"))</f>
        <v/>
      </c>
      <c r="V8" s="4">
        <f>IF($A8="","No",IF(COUNTIFS('3. Monthly'!$A$4:$A$203,$A8,'3. Monthly'!$C$4:$C$203,$B8,'3. Monthly'!$I$4:$I$203,"&gt;0")&gt;0,"Yes","No"))</f>
        <v/>
      </c>
      <c r="W8" s="4">
        <f>IF($A8="","No",IF(COUNTIFS('3. Monthly'!$A$4:$A$203,$A8,'3. Monthly'!$C$4:$C$203,$B8,'3. Monthly'!$K$4:$K$203,"&gt;=0",'3. Monthly'!$L$4:$L$203,"&gt;0")&gt;0,"Yes","No"))</f>
        <v/>
      </c>
      <c r="X8" s="4">
        <f>IF($A8="","No",IF(COUNTIFS('3. Monthly'!$A$4:$A$203,$A8,'3. Monthly'!$C$4:$C$203,$B8,'3. Monthly'!$J$4:$J$203,"&gt;=0",'3. Monthly'!$K$4:$K$203,"&gt;=0",'3. Monthly'!$M$4:$M$203,"&gt;=0",'3. Monthly'!$N$4:$N$203,"&gt;=0",'3. Monthly'!$L$4:$L$203,"&gt;0")&gt;0,"Yes","No"))</f>
        <v/>
      </c>
      <c r="Y8" s="4">
        <f>IF($A8="","No",IF(COUNTIFS('3. Monthly'!$A$4:$A$203,$A8,'3. Monthly'!$C$4:$C$203,$B8,'3. Monthly'!$O$4:$O$203,"&gt;0")&gt;0,"Yes","No"))</f>
        <v/>
      </c>
      <c r="Z8" s="4">
        <f>IF($A8="","No",IF(COUNTIFS('3. Monthly'!$A$4:$A$203,$A8,'3. Monthly'!$C$4:$C$203,$B8,'3. Monthly'!$Q$4:$Q$203,"&gt;=0",'3. Monthly'!$G$4:$G$203,"&gt;0")&gt;0,"Yes","No"))</f>
        <v/>
      </c>
      <c r="AA8" s="4">
        <f>IF($A8="","No",IF(COUNTIFS('3. Monthly'!$A$4:$A$203,$A8,'3. Monthly'!$C$4:$C$203,$B8,'3. Monthly'!$H$4:$H$203,"&gt;0")&gt;0,"Yes","No"))</f>
        <v/>
      </c>
      <c r="AB8" s="4">
        <f>IF($A8="","No",IF(COUNTIFS('3. Monthly'!$A$4:$A$203,$A8,'3. Monthly'!$C$4:$C$203,$B8,'3. Monthly'!$U$4:$U$203,"&gt;=0",'3. Monthly'!$V$4:$V$203,"&gt;=0",'3. Monthly'!$H$4:$H$203,"&gt;0")&gt;0,"Yes","No"))</f>
        <v/>
      </c>
    </row>
    <row r="9">
      <c r="A9" s="4">
        <f>'4. Quarterly'!A9</f>
        <v/>
      </c>
      <c r="B9" s="4">
        <f>'4. Quarterly'!B9</f>
        <v/>
      </c>
      <c r="C9" s="4">
        <f>IFERROR(VLOOKUP($A9,'2. Projects'!$A$3:$B$20,2,0),"")</f>
        <v/>
      </c>
      <c r="D9" s="21">
        <f>IF($A9="","",IFERROR(AVERAGEIFS('5. Metrics'!$D$4:$D$203,'5. Metrics'!$A$4:$A$203,$A9,'5. Metrics'!$C$4:$C$203,$B9),""))</f>
        <v/>
      </c>
      <c r="E9" s="21">
        <f>IF($A9="","",IFERROR(AVERAGEIFS('5. Metrics'!$E$4:$E$203,'5. Metrics'!$A$4:$A$203,$A9,'5. Metrics'!$C$4:$C$203,$B9),""))</f>
        <v/>
      </c>
      <c r="F9" s="21">
        <f>IF($A9="","",IFERROR(AVERAGEIFS('5. Metrics'!$F$4:$F$203,'5. Metrics'!$A$4:$A$203,$A9,'5. Metrics'!$C$4:$C$203,$B9),""))</f>
        <v/>
      </c>
      <c r="G9" s="21">
        <f>IF($A9="","",IFERROR(AVERAGEIFS('5. Metrics'!$I$4:$I$203,'5. Metrics'!$A$4:$A$203,$A9,'5. Metrics'!$C$4:$C$203,$B9),""))</f>
        <v/>
      </c>
      <c r="H9" s="21">
        <f>IF($A9="","",IFERROR(AVERAGEIFS('5. Metrics'!$L$4:$L$203,'5. Metrics'!$A$4:$A$203,$A9,'5. Metrics'!$C$4:$C$203,$B9),""))</f>
        <v/>
      </c>
      <c r="I9" s="21">
        <f>IF($A9="","",IFERROR(AVERAGEIFS('5. Metrics'!$M$4:$M$203,'5. Metrics'!$A$4:$A$203,$A9,'5. Metrics'!$C$4:$C$203,$B9),""))</f>
        <v/>
      </c>
      <c r="J9" s="21">
        <f>IF($A9="","",IFERROR(AVERAGEIFS('5. Metrics'!$N$4:$N$203,'5. Metrics'!$A$4:$A$203,$A9,'5. Metrics'!$C$4:$C$203,$B9),""))</f>
        <v/>
      </c>
      <c r="K9" s="21">
        <f>IF($A9="","",IFERROR(AVERAGEIFS('5. Metrics'!$P$4:$P$203,'5. Metrics'!$A$4:$A$203,$A9,'5. Metrics'!$C$4:$C$203,$B9),""))</f>
        <v/>
      </c>
      <c r="L9" s="21">
        <f>IF($A9="","",IFERROR(AVERAGEIFS('5. Metrics'!$Q$4:$Q$203,'5. Metrics'!$A$4:$A$203,$A9,'5. Metrics'!$C$4:$C$203,$B9),""))</f>
        <v/>
      </c>
      <c r="M9" s="21">
        <f>IF($A9="","",IFERROR(AVERAGEIFS('5. Metrics'!$R$4:$R$203,'5. Metrics'!$A$4:$A$203,$A9,'5. Metrics'!$C$4:$C$203,$B9),""))</f>
        <v/>
      </c>
      <c r="N9" s="24">
        <f>IF($A9="","",IF('4. Quarterly'!L9="Yes",5,IF(AND(ISNUMBER(E9),E9&gt;'10. Thresholds'!$B$4,V9="Yes"),4,IF(AND('4. Quarterly'!K9="Yes",ISNUMBER(E9),E9&gt;='10. Thresholds'!$B$3),3,IF(AND(U9="Yes",ISNUMBER(D9),D9&gt;='10. Thresholds'!$B$5),2,1)))))</f>
        <v/>
      </c>
      <c r="O9" s="24">
        <f>IF($A9="","",IF(AND('4. Quarterly'!P9="Yes",'4. Quarterly'!Q9="Yes",'4. Quarterly'!M9="Yes",'4. Quarterly'!N9="Yes",'4. Quarterly'!O9="Yes",X9="Yes",Y9="Yes"),5,IF(AND('4. Quarterly'!M9="Yes",'4. Quarterly'!N9="Yes",'4. Quarterly'!O9="Yes",X9="Yes",Y9="Yes"),4,IF(AND(X9="Yes",Y9="Yes"),3,IF(W9="Yes",2,1)))))</f>
        <v/>
      </c>
      <c r="P9" s="24">
        <f>IF($A9="","",IF(AND('4. Quarterly'!V9="Yes",'4. Quarterly'!W9="Yes",'4. Quarterly'!X9="Yes",'4. Quarterly'!S9="Yes",'4. Quarterly'!T9="Yes",'4. Quarterly'!U9="Yes",'4. Quarterly'!E9="Yes",Z9="Yes",'4. Quarterly'!R9="Yes"),5,IF(AND('4. Quarterly'!S9="Yes",'4. Quarterly'!T9="Yes",'4. Quarterly'!U9="Yes",'4. Quarterly'!E9="Yes",Z9="Yes",'4. Quarterly'!R9="Yes"),4,IF(AND('4. Quarterly'!E9="Yes",Z9="Yes",'4. Quarterly'!R9="Yes"),3,IF(OR(Z9="Yes",'4. Quarterly'!R9="Yes",'4. Quarterly'!E9="Yes"),2,1)))))</f>
        <v/>
      </c>
      <c r="Q9" s="24">
        <f>IF($A9="","",IF(AA9&lt;&gt;"Yes",1,IF(AB9&lt;&gt;"Yes",2,IF(AND('4. Quarterly'!AA9="Yes",'4. Quarterly'!Y9="Yes",'4. Quarterly'!Z9="Yes",ISNUMBER(M9),M9&gt;='10. Thresholds'!$B$7,ISNUMBER(L9),L9&lt;='10. Thresholds'!$B$8),5,IF(AND('4. Quarterly'!Y9="Yes",'4. Quarterly'!Z9="Yes",ISNUMBER(M9),M9&gt;='10. Thresholds'!$B$6),4,3)))))</f>
        <v/>
      </c>
      <c r="R9" s="24">
        <f>IF($A9="","",IF(AND('4. Quarterly'!C9="Yes",'4. Quarterly'!D9="Yes",'4. Quarterly'!E9="Yes",'4. Quarterly'!F9="Yes",'4. Quarterly'!G9="Yes",'4. Quarterly'!H9="Yes",'4. Quarterly'!I9="Yes",'4. Quarterly'!J9="Yes"),5,IF(AND('4. Quarterly'!C9="Yes",'4. Quarterly'!D9="Yes",'4. Quarterly'!E9="Yes",'4. Quarterly'!F9="Yes",'4. Quarterly'!G9="Yes"),4,IF(AND('4. Quarterly'!C9="Yes",'4. Quarterly'!D9="Yes",'4. Quarterly'!E9="Yes"),3,IF(COUNTIF('4. Quarterly'!C9:J9,"Yes")&gt;=2,2,1)))))</f>
        <v/>
      </c>
      <c r="S9" s="24">
        <f>IF($A9="","",MIN(R9,P9,ROUND(AVERAGE(N9,O9,P9,Q9,R9),0)))</f>
        <v/>
      </c>
      <c r="T9" s="4">
        <f>IF($A9="","",$A9&amp;"|"&amp;$B9)</f>
        <v/>
      </c>
      <c r="U9" s="4">
        <f>IF($A9="","No",IF(COUNTIFS('3. Monthly'!$A$4:$A$203,$A9,'3. Monthly'!$C$4:$C$203,$B9,'3. Monthly'!$E$4:$E$203,"&gt;0")&gt;0,"Yes","No"))</f>
        <v/>
      </c>
      <c r="V9" s="4">
        <f>IF($A9="","No",IF(COUNTIFS('3. Monthly'!$A$4:$A$203,$A9,'3. Monthly'!$C$4:$C$203,$B9,'3. Monthly'!$I$4:$I$203,"&gt;0")&gt;0,"Yes","No"))</f>
        <v/>
      </c>
      <c r="W9" s="4">
        <f>IF($A9="","No",IF(COUNTIFS('3. Monthly'!$A$4:$A$203,$A9,'3. Monthly'!$C$4:$C$203,$B9,'3. Monthly'!$K$4:$K$203,"&gt;=0",'3. Monthly'!$L$4:$L$203,"&gt;0")&gt;0,"Yes","No"))</f>
        <v/>
      </c>
      <c r="X9" s="4">
        <f>IF($A9="","No",IF(COUNTIFS('3. Monthly'!$A$4:$A$203,$A9,'3. Monthly'!$C$4:$C$203,$B9,'3. Monthly'!$J$4:$J$203,"&gt;=0",'3. Monthly'!$K$4:$K$203,"&gt;=0",'3. Monthly'!$M$4:$M$203,"&gt;=0",'3. Monthly'!$N$4:$N$203,"&gt;=0",'3. Monthly'!$L$4:$L$203,"&gt;0")&gt;0,"Yes","No"))</f>
        <v/>
      </c>
      <c r="Y9" s="4">
        <f>IF($A9="","No",IF(COUNTIFS('3. Monthly'!$A$4:$A$203,$A9,'3. Monthly'!$C$4:$C$203,$B9,'3. Monthly'!$O$4:$O$203,"&gt;0")&gt;0,"Yes","No"))</f>
        <v/>
      </c>
      <c r="Z9" s="4">
        <f>IF($A9="","No",IF(COUNTIFS('3. Monthly'!$A$4:$A$203,$A9,'3. Monthly'!$C$4:$C$203,$B9,'3. Monthly'!$Q$4:$Q$203,"&gt;=0",'3. Monthly'!$G$4:$G$203,"&gt;0")&gt;0,"Yes","No"))</f>
        <v/>
      </c>
      <c r="AA9" s="4">
        <f>IF($A9="","No",IF(COUNTIFS('3. Monthly'!$A$4:$A$203,$A9,'3. Monthly'!$C$4:$C$203,$B9,'3. Monthly'!$H$4:$H$203,"&gt;0")&gt;0,"Yes","No"))</f>
        <v/>
      </c>
      <c r="AB9" s="4">
        <f>IF($A9="","No",IF(COUNTIFS('3. Monthly'!$A$4:$A$203,$A9,'3. Monthly'!$C$4:$C$203,$B9,'3. Monthly'!$U$4:$U$203,"&gt;=0",'3. Monthly'!$V$4:$V$203,"&gt;=0",'3. Monthly'!$H$4:$H$203,"&gt;0")&gt;0,"Yes","No"))</f>
        <v/>
      </c>
    </row>
    <row r="10">
      <c r="A10" s="4">
        <f>'4. Quarterly'!A10</f>
        <v/>
      </c>
      <c r="B10" s="4">
        <f>'4. Quarterly'!B10</f>
        <v/>
      </c>
      <c r="C10" s="4">
        <f>IFERROR(VLOOKUP($A10,'2. Projects'!$A$3:$B$20,2,0),"")</f>
        <v/>
      </c>
      <c r="D10" s="21">
        <f>IF($A10="","",IFERROR(AVERAGEIFS('5. Metrics'!$D$4:$D$203,'5. Metrics'!$A$4:$A$203,$A10,'5. Metrics'!$C$4:$C$203,$B10),""))</f>
        <v/>
      </c>
      <c r="E10" s="21">
        <f>IF($A10="","",IFERROR(AVERAGEIFS('5. Metrics'!$E$4:$E$203,'5. Metrics'!$A$4:$A$203,$A10,'5. Metrics'!$C$4:$C$203,$B10),""))</f>
        <v/>
      </c>
      <c r="F10" s="21">
        <f>IF($A10="","",IFERROR(AVERAGEIFS('5. Metrics'!$F$4:$F$203,'5. Metrics'!$A$4:$A$203,$A10,'5. Metrics'!$C$4:$C$203,$B10),""))</f>
        <v/>
      </c>
      <c r="G10" s="21">
        <f>IF($A10="","",IFERROR(AVERAGEIFS('5. Metrics'!$I$4:$I$203,'5. Metrics'!$A$4:$A$203,$A10,'5. Metrics'!$C$4:$C$203,$B10),""))</f>
        <v/>
      </c>
      <c r="H10" s="21">
        <f>IF($A10="","",IFERROR(AVERAGEIFS('5. Metrics'!$L$4:$L$203,'5. Metrics'!$A$4:$A$203,$A10,'5. Metrics'!$C$4:$C$203,$B10),""))</f>
        <v/>
      </c>
      <c r="I10" s="21">
        <f>IF($A10="","",IFERROR(AVERAGEIFS('5. Metrics'!$M$4:$M$203,'5. Metrics'!$A$4:$A$203,$A10,'5. Metrics'!$C$4:$C$203,$B10),""))</f>
        <v/>
      </c>
      <c r="J10" s="21">
        <f>IF($A10="","",IFERROR(AVERAGEIFS('5. Metrics'!$N$4:$N$203,'5. Metrics'!$A$4:$A$203,$A10,'5. Metrics'!$C$4:$C$203,$B10),""))</f>
        <v/>
      </c>
      <c r="K10" s="21">
        <f>IF($A10="","",IFERROR(AVERAGEIFS('5. Metrics'!$P$4:$P$203,'5. Metrics'!$A$4:$A$203,$A10,'5. Metrics'!$C$4:$C$203,$B10),""))</f>
        <v/>
      </c>
      <c r="L10" s="21">
        <f>IF($A10="","",IFERROR(AVERAGEIFS('5. Metrics'!$Q$4:$Q$203,'5. Metrics'!$A$4:$A$203,$A10,'5. Metrics'!$C$4:$C$203,$B10),""))</f>
        <v/>
      </c>
      <c r="M10" s="21">
        <f>IF($A10="","",IFERROR(AVERAGEIFS('5. Metrics'!$R$4:$R$203,'5. Metrics'!$A$4:$A$203,$A10,'5. Metrics'!$C$4:$C$203,$B10),""))</f>
        <v/>
      </c>
      <c r="N10" s="24">
        <f>IF($A10="","",IF('4. Quarterly'!L10="Yes",5,IF(AND(ISNUMBER(E10),E10&gt;'10. Thresholds'!$B$4,V10="Yes"),4,IF(AND('4. Quarterly'!K10="Yes",ISNUMBER(E10),E10&gt;='10. Thresholds'!$B$3),3,IF(AND(U10="Yes",ISNUMBER(D10),D10&gt;='10. Thresholds'!$B$5),2,1)))))</f>
        <v/>
      </c>
      <c r="O10" s="24">
        <f>IF($A10="","",IF(AND('4. Quarterly'!P10="Yes",'4. Quarterly'!Q10="Yes",'4. Quarterly'!M10="Yes",'4. Quarterly'!N10="Yes",'4. Quarterly'!O10="Yes",X10="Yes",Y10="Yes"),5,IF(AND('4. Quarterly'!M10="Yes",'4. Quarterly'!N10="Yes",'4. Quarterly'!O10="Yes",X10="Yes",Y10="Yes"),4,IF(AND(X10="Yes",Y10="Yes"),3,IF(W10="Yes",2,1)))))</f>
        <v/>
      </c>
      <c r="P10" s="24">
        <f>IF($A10="","",IF(AND('4. Quarterly'!V10="Yes",'4. Quarterly'!W10="Yes",'4. Quarterly'!X10="Yes",'4. Quarterly'!S10="Yes",'4. Quarterly'!T10="Yes",'4. Quarterly'!U10="Yes",'4. Quarterly'!E10="Yes",Z10="Yes",'4. Quarterly'!R10="Yes"),5,IF(AND('4. Quarterly'!S10="Yes",'4. Quarterly'!T10="Yes",'4. Quarterly'!U10="Yes",'4. Quarterly'!E10="Yes",Z10="Yes",'4. Quarterly'!R10="Yes"),4,IF(AND('4. Quarterly'!E10="Yes",Z10="Yes",'4. Quarterly'!R10="Yes"),3,IF(OR(Z10="Yes",'4. Quarterly'!R10="Yes",'4. Quarterly'!E10="Yes"),2,1)))))</f>
        <v/>
      </c>
      <c r="Q10" s="24">
        <f>IF($A10="","",IF(AA10&lt;&gt;"Yes",1,IF(AB10&lt;&gt;"Yes",2,IF(AND('4. Quarterly'!AA10="Yes",'4. Quarterly'!Y10="Yes",'4. Quarterly'!Z10="Yes",ISNUMBER(M10),M10&gt;='10. Thresholds'!$B$7,ISNUMBER(L10),L10&lt;='10. Thresholds'!$B$8),5,IF(AND('4. Quarterly'!Y10="Yes",'4. Quarterly'!Z10="Yes",ISNUMBER(M10),M10&gt;='10. Thresholds'!$B$6),4,3)))))</f>
        <v/>
      </c>
      <c r="R10" s="24">
        <f>IF($A10="","",IF(AND('4. Quarterly'!C10="Yes",'4. Quarterly'!D10="Yes",'4. Quarterly'!E10="Yes",'4. Quarterly'!F10="Yes",'4. Quarterly'!G10="Yes",'4. Quarterly'!H10="Yes",'4. Quarterly'!I10="Yes",'4. Quarterly'!J10="Yes"),5,IF(AND('4. Quarterly'!C10="Yes",'4. Quarterly'!D10="Yes",'4. Quarterly'!E10="Yes",'4. Quarterly'!F10="Yes",'4. Quarterly'!G10="Yes"),4,IF(AND('4. Quarterly'!C10="Yes",'4. Quarterly'!D10="Yes",'4. Quarterly'!E10="Yes"),3,IF(COUNTIF('4. Quarterly'!C10:J10,"Yes")&gt;=2,2,1)))))</f>
        <v/>
      </c>
      <c r="S10" s="24">
        <f>IF($A10="","",MIN(R10,P10,ROUND(AVERAGE(N10,O10,P10,Q10,R10),0)))</f>
        <v/>
      </c>
      <c r="T10" s="4">
        <f>IF($A10="","",$A10&amp;"|"&amp;$B10)</f>
        <v/>
      </c>
      <c r="U10" s="4">
        <f>IF($A10="","No",IF(COUNTIFS('3. Monthly'!$A$4:$A$203,$A10,'3. Monthly'!$C$4:$C$203,$B10,'3. Monthly'!$E$4:$E$203,"&gt;0")&gt;0,"Yes","No"))</f>
        <v/>
      </c>
      <c r="V10" s="4">
        <f>IF($A10="","No",IF(COUNTIFS('3. Monthly'!$A$4:$A$203,$A10,'3. Monthly'!$C$4:$C$203,$B10,'3. Monthly'!$I$4:$I$203,"&gt;0")&gt;0,"Yes","No"))</f>
        <v/>
      </c>
      <c r="W10" s="4">
        <f>IF($A10="","No",IF(COUNTIFS('3. Monthly'!$A$4:$A$203,$A10,'3. Monthly'!$C$4:$C$203,$B10,'3. Monthly'!$K$4:$K$203,"&gt;=0",'3. Monthly'!$L$4:$L$203,"&gt;0")&gt;0,"Yes","No"))</f>
        <v/>
      </c>
      <c r="X10" s="4">
        <f>IF($A10="","No",IF(COUNTIFS('3. Monthly'!$A$4:$A$203,$A10,'3. Monthly'!$C$4:$C$203,$B10,'3. Monthly'!$J$4:$J$203,"&gt;=0",'3. Monthly'!$K$4:$K$203,"&gt;=0",'3. Monthly'!$M$4:$M$203,"&gt;=0",'3. Monthly'!$N$4:$N$203,"&gt;=0",'3. Monthly'!$L$4:$L$203,"&gt;0")&gt;0,"Yes","No"))</f>
        <v/>
      </c>
      <c r="Y10" s="4">
        <f>IF($A10="","No",IF(COUNTIFS('3. Monthly'!$A$4:$A$203,$A10,'3. Monthly'!$C$4:$C$203,$B10,'3. Monthly'!$O$4:$O$203,"&gt;0")&gt;0,"Yes","No"))</f>
        <v/>
      </c>
      <c r="Z10" s="4">
        <f>IF($A10="","No",IF(COUNTIFS('3. Monthly'!$A$4:$A$203,$A10,'3. Monthly'!$C$4:$C$203,$B10,'3. Monthly'!$Q$4:$Q$203,"&gt;=0",'3. Monthly'!$G$4:$G$203,"&gt;0")&gt;0,"Yes","No"))</f>
        <v/>
      </c>
      <c r="AA10" s="4">
        <f>IF($A10="","No",IF(COUNTIFS('3. Monthly'!$A$4:$A$203,$A10,'3. Monthly'!$C$4:$C$203,$B10,'3. Monthly'!$H$4:$H$203,"&gt;0")&gt;0,"Yes","No"))</f>
        <v/>
      </c>
      <c r="AB10" s="4">
        <f>IF($A10="","No",IF(COUNTIFS('3. Monthly'!$A$4:$A$203,$A10,'3. Monthly'!$C$4:$C$203,$B10,'3. Monthly'!$U$4:$U$203,"&gt;=0",'3. Monthly'!$V$4:$V$203,"&gt;=0",'3. Monthly'!$H$4:$H$203,"&gt;0")&gt;0,"Yes","No"))</f>
        <v/>
      </c>
    </row>
    <row r="11">
      <c r="A11" s="4">
        <f>'4. Quarterly'!A11</f>
        <v/>
      </c>
      <c r="B11" s="4">
        <f>'4. Quarterly'!B11</f>
        <v/>
      </c>
      <c r="C11" s="4">
        <f>IFERROR(VLOOKUP($A11,'2. Projects'!$A$3:$B$20,2,0),"")</f>
        <v/>
      </c>
      <c r="D11" s="21">
        <f>IF($A11="","",IFERROR(AVERAGEIFS('5. Metrics'!$D$4:$D$203,'5. Metrics'!$A$4:$A$203,$A11,'5. Metrics'!$C$4:$C$203,$B11),""))</f>
        <v/>
      </c>
      <c r="E11" s="21">
        <f>IF($A11="","",IFERROR(AVERAGEIFS('5. Metrics'!$E$4:$E$203,'5. Metrics'!$A$4:$A$203,$A11,'5. Metrics'!$C$4:$C$203,$B11),""))</f>
        <v/>
      </c>
      <c r="F11" s="21">
        <f>IF($A11="","",IFERROR(AVERAGEIFS('5. Metrics'!$F$4:$F$203,'5. Metrics'!$A$4:$A$203,$A11,'5. Metrics'!$C$4:$C$203,$B11),""))</f>
        <v/>
      </c>
      <c r="G11" s="21">
        <f>IF($A11="","",IFERROR(AVERAGEIFS('5. Metrics'!$I$4:$I$203,'5. Metrics'!$A$4:$A$203,$A11,'5. Metrics'!$C$4:$C$203,$B11),""))</f>
        <v/>
      </c>
      <c r="H11" s="21">
        <f>IF($A11="","",IFERROR(AVERAGEIFS('5. Metrics'!$L$4:$L$203,'5. Metrics'!$A$4:$A$203,$A11,'5. Metrics'!$C$4:$C$203,$B11),""))</f>
        <v/>
      </c>
      <c r="I11" s="21">
        <f>IF($A11="","",IFERROR(AVERAGEIFS('5. Metrics'!$M$4:$M$203,'5. Metrics'!$A$4:$A$203,$A11,'5. Metrics'!$C$4:$C$203,$B11),""))</f>
        <v/>
      </c>
      <c r="J11" s="21">
        <f>IF($A11="","",IFERROR(AVERAGEIFS('5. Metrics'!$N$4:$N$203,'5. Metrics'!$A$4:$A$203,$A11,'5. Metrics'!$C$4:$C$203,$B11),""))</f>
        <v/>
      </c>
      <c r="K11" s="21">
        <f>IF($A11="","",IFERROR(AVERAGEIFS('5. Metrics'!$P$4:$P$203,'5. Metrics'!$A$4:$A$203,$A11,'5. Metrics'!$C$4:$C$203,$B11),""))</f>
        <v/>
      </c>
      <c r="L11" s="21">
        <f>IF($A11="","",IFERROR(AVERAGEIFS('5. Metrics'!$Q$4:$Q$203,'5. Metrics'!$A$4:$A$203,$A11,'5. Metrics'!$C$4:$C$203,$B11),""))</f>
        <v/>
      </c>
      <c r="M11" s="21">
        <f>IF($A11="","",IFERROR(AVERAGEIFS('5. Metrics'!$R$4:$R$203,'5. Metrics'!$A$4:$A$203,$A11,'5. Metrics'!$C$4:$C$203,$B11),""))</f>
        <v/>
      </c>
      <c r="N11" s="24">
        <f>IF($A11="","",IF('4. Quarterly'!L11="Yes",5,IF(AND(ISNUMBER(E11),E11&gt;'10. Thresholds'!$B$4,V11="Yes"),4,IF(AND('4. Quarterly'!K11="Yes",ISNUMBER(E11),E11&gt;='10. Thresholds'!$B$3),3,IF(AND(U11="Yes",ISNUMBER(D11),D11&gt;='10. Thresholds'!$B$5),2,1)))))</f>
        <v/>
      </c>
      <c r="O11" s="24">
        <f>IF($A11="","",IF(AND('4. Quarterly'!P11="Yes",'4. Quarterly'!Q11="Yes",'4. Quarterly'!M11="Yes",'4. Quarterly'!N11="Yes",'4. Quarterly'!O11="Yes",X11="Yes",Y11="Yes"),5,IF(AND('4. Quarterly'!M11="Yes",'4. Quarterly'!N11="Yes",'4. Quarterly'!O11="Yes",X11="Yes",Y11="Yes"),4,IF(AND(X11="Yes",Y11="Yes"),3,IF(W11="Yes",2,1)))))</f>
        <v/>
      </c>
      <c r="P11" s="24">
        <f>IF($A11="","",IF(AND('4. Quarterly'!V11="Yes",'4. Quarterly'!W11="Yes",'4. Quarterly'!X11="Yes",'4. Quarterly'!S11="Yes",'4. Quarterly'!T11="Yes",'4. Quarterly'!U11="Yes",'4. Quarterly'!E11="Yes",Z11="Yes",'4. Quarterly'!R11="Yes"),5,IF(AND('4. Quarterly'!S11="Yes",'4. Quarterly'!T11="Yes",'4. Quarterly'!U11="Yes",'4. Quarterly'!E11="Yes",Z11="Yes",'4. Quarterly'!R11="Yes"),4,IF(AND('4. Quarterly'!E11="Yes",Z11="Yes",'4. Quarterly'!R11="Yes"),3,IF(OR(Z11="Yes",'4. Quarterly'!R11="Yes",'4. Quarterly'!E11="Yes"),2,1)))))</f>
        <v/>
      </c>
      <c r="Q11" s="24">
        <f>IF($A11="","",IF(AA11&lt;&gt;"Yes",1,IF(AB11&lt;&gt;"Yes",2,IF(AND('4. Quarterly'!AA11="Yes",'4. Quarterly'!Y11="Yes",'4. Quarterly'!Z11="Yes",ISNUMBER(M11),M11&gt;='10. Thresholds'!$B$7,ISNUMBER(L11),L11&lt;='10. Thresholds'!$B$8),5,IF(AND('4. Quarterly'!Y11="Yes",'4. Quarterly'!Z11="Yes",ISNUMBER(M11),M11&gt;='10. Thresholds'!$B$6),4,3)))))</f>
        <v/>
      </c>
      <c r="R11" s="24">
        <f>IF($A11="","",IF(AND('4. Quarterly'!C11="Yes",'4. Quarterly'!D11="Yes",'4. Quarterly'!E11="Yes",'4. Quarterly'!F11="Yes",'4. Quarterly'!G11="Yes",'4. Quarterly'!H11="Yes",'4. Quarterly'!I11="Yes",'4. Quarterly'!J11="Yes"),5,IF(AND('4. Quarterly'!C11="Yes",'4. Quarterly'!D11="Yes",'4. Quarterly'!E11="Yes",'4. Quarterly'!F11="Yes",'4. Quarterly'!G11="Yes"),4,IF(AND('4. Quarterly'!C11="Yes",'4. Quarterly'!D11="Yes",'4. Quarterly'!E11="Yes"),3,IF(COUNTIF('4. Quarterly'!C11:J11,"Yes")&gt;=2,2,1)))))</f>
        <v/>
      </c>
      <c r="S11" s="24">
        <f>IF($A11="","",MIN(R11,P11,ROUND(AVERAGE(N11,O11,P11,Q11,R11),0)))</f>
        <v/>
      </c>
      <c r="T11" s="4">
        <f>IF($A11="","",$A11&amp;"|"&amp;$B11)</f>
        <v/>
      </c>
      <c r="U11" s="4">
        <f>IF($A11="","No",IF(COUNTIFS('3. Monthly'!$A$4:$A$203,$A11,'3. Monthly'!$C$4:$C$203,$B11,'3. Monthly'!$E$4:$E$203,"&gt;0")&gt;0,"Yes","No"))</f>
        <v/>
      </c>
      <c r="V11" s="4">
        <f>IF($A11="","No",IF(COUNTIFS('3. Monthly'!$A$4:$A$203,$A11,'3. Monthly'!$C$4:$C$203,$B11,'3. Monthly'!$I$4:$I$203,"&gt;0")&gt;0,"Yes","No"))</f>
        <v/>
      </c>
      <c r="W11" s="4">
        <f>IF($A11="","No",IF(COUNTIFS('3. Monthly'!$A$4:$A$203,$A11,'3. Monthly'!$C$4:$C$203,$B11,'3. Monthly'!$K$4:$K$203,"&gt;=0",'3. Monthly'!$L$4:$L$203,"&gt;0")&gt;0,"Yes","No"))</f>
        <v/>
      </c>
      <c r="X11" s="4">
        <f>IF($A11="","No",IF(COUNTIFS('3. Monthly'!$A$4:$A$203,$A11,'3. Monthly'!$C$4:$C$203,$B11,'3. Monthly'!$J$4:$J$203,"&gt;=0",'3. Monthly'!$K$4:$K$203,"&gt;=0",'3. Monthly'!$M$4:$M$203,"&gt;=0",'3. Monthly'!$N$4:$N$203,"&gt;=0",'3. Monthly'!$L$4:$L$203,"&gt;0")&gt;0,"Yes","No"))</f>
        <v/>
      </c>
      <c r="Y11" s="4">
        <f>IF($A11="","No",IF(COUNTIFS('3. Monthly'!$A$4:$A$203,$A11,'3. Monthly'!$C$4:$C$203,$B11,'3. Monthly'!$O$4:$O$203,"&gt;0")&gt;0,"Yes","No"))</f>
        <v/>
      </c>
      <c r="Z11" s="4">
        <f>IF($A11="","No",IF(COUNTIFS('3. Monthly'!$A$4:$A$203,$A11,'3. Monthly'!$C$4:$C$203,$B11,'3. Monthly'!$Q$4:$Q$203,"&gt;=0",'3. Monthly'!$G$4:$G$203,"&gt;0")&gt;0,"Yes","No"))</f>
        <v/>
      </c>
      <c r="AA11" s="4">
        <f>IF($A11="","No",IF(COUNTIFS('3. Monthly'!$A$4:$A$203,$A11,'3. Monthly'!$C$4:$C$203,$B11,'3. Monthly'!$H$4:$H$203,"&gt;0")&gt;0,"Yes","No"))</f>
        <v/>
      </c>
      <c r="AB11" s="4">
        <f>IF($A11="","No",IF(COUNTIFS('3. Monthly'!$A$4:$A$203,$A11,'3. Monthly'!$C$4:$C$203,$B11,'3. Monthly'!$U$4:$U$203,"&gt;=0",'3. Monthly'!$V$4:$V$203,"&gt;=0",'3. Monthly'!$H$4:$H$203,"&gt;0")&gt;0,"Yes","No"))</f>
        <v/>
      </c>
    </row>
    <row r="12">
      <c r="A12" s="4">
        <f>'4. Quarterly'!A12</f>
        <v/>
      </c>
      <c r="B12" s="4">
        <f>'4. Quarterly'!B12</f>
        <v/>
      </c>
      <c r="C12" s="4">
        <f>IFERROR(VLOOKUP($A12,'2. Projects'!$A$3:$B$20,2,0),"")</f>
        <v/>
      </c>
      <c r="D12" s="21">
        <f>IF($A12="","",IFERROR(AVERAGEIFS('5. Metrics'!$D$4:$D$203,'5. Metrics'!$A$4:$A$203,$A12,'5. Metrics'!$C$4:$C$203,$B12),""))</f>
        <v/>
      </c>
      <c r="E12" s="21">
        <f>IF($A12="","",IFERROR(AVERAGEIFS('5. Metrics'!$E$4:$E$203,'5. Metrics'!$A$4:$A$203,$A12,'5. Metrics'!$C$4:$C$203,$B12),""))</f>
        <v/>
      </c>
      <c r="F12" s="21">
        <f>IF($A12="","",IFERROR(AVERAGEIFS('5. Metrics'!$F$4:$F$203,'5. Metrics'!$A$4:$A$203,$A12,'5. Metrics'!$C$4:$C$203,$B12),""))</f>
        <v/>
      </c>
      <c r="G12" s="21">
        <f>IF($A12="","",IFERROR(AVERAGEIFS('5. Metrics'!$I$4:$I$203,'5. Metrics'!$A$4:$A$203,$A12,'5. Metrics'!$C$4:$C$203,$B12),""))</f>
        <v/>
      </c>
      <c r="H12" s="21">
        <f>IF($A12="","",IFERROR(AVERAGEIFS('5. Metrics'!$L$4:$L$203,'5. Metrics'!$A$4:$A$203,$A12,'5. Metrics'!$C$4:$C$203,$B12),""))</f>
        <v/>
      </c>
      <c r="I12" s="21">
        <f>IF($A12="","",IFERROR(AVERAGEIFS('5. Metrics'!$M$4:$M$203,'5. Metrics'!$A$4:$A$203,$A12,'5. Metrics'!$C$4:$C$203,$B12),""))</f>
        <v/>
      </c>
      <c r="J12" s="21">
        <f>IF($A12="","",IFERROR(AVERAGEIFS('5. Metrics'!$N$4:$N$203,'5. Metrics'!$A$4:$A$203,$A12,'5. Metrics'!$C$4:$C$203,$B12),""))</f>
        <v/>
      </c>
      <c r="K12" s="21">
        <f>IF($A12="","",IFERROR(AVERAGEIFS('5. Metrics'!$P$4:$P$203,'5. Metrics'!$A$4:$A$203,$A12,'5. Metrics'!$C$4:$C$203,$B12),""))</f>
        <v/>
      </c>
      <c r="L12" s="21">
        <f>IF($A12="","",IFERROR(AVERAGEIFS('5. Metrics'!$Q$4:$Q$203,'5. Metrics'!$A$4:$A$203,$A12,'5. Metrics'!$C$4:$C$203,$B12),""))</f>
        <v/>
      </c>
      <c r="M12" s="21">
        <f>IF($A12="","",IFERROR(AVERAGEIFS('5. Metrics'!$R$4:$R$203,'5. Metrics'!$A$4:$A$203,$A12,'5. Metrics'!$C$4:$C$203,$B12),""))</f>
        <v/>
      </c>
      <c r="N12" s="24">
        <f>IF($A12="","",IF('4. Quarterly'!L12="Yes",5,IF(AND(ISNUMBER(E12),E12&gt;'10. Thresholds'!$B$4,V12="Yes"),4,IF(AND('4. Quarterly'!K12="Yes",ISNUMBER(E12),E12&gt;='10. Thresholds'!$B$3),3,IF(AND(U12="Yes",ISNUMBER(D12),D12&gt;='10. Thresholds'!$B$5),2,1)))))</f>
        <v/>
      </c>
      <c r="O12" s="24">
        <f>IF($A12="","",IF(AND('4. Quarterly'!P12="Yes",'4. Quarterly'!Q12="Yes",'4. Quarterly'!M12="Yes",'4. Quarterly'!N12="Yes",'4. Quarterly'!O12="Yes",X12="Yes",Y12="Yes"),5,IF(AND('4. Quarterly'!M12="Yes",'4. Quarterly'!N12="Yes",'4. Quarterly'!O12="Yes",X12="Yes",Y12="Yes"),4,IF(AND(X12="Yes",Y12="Yes"),3,IF(W12="Yes",2,1)))))</f>
        <v/>
      </c>
      <c r="P12" s="24">
        <f>IF($A12="","",IF(AND('4. Quarterly'!V12="Yes",'4. Quarterly'!W12="Yes",'4. Quarterly'!X12="Yes",'4. Quarterly'!S12="Yes",'4. Quarterly'!T12="Yes",'4. Quarterly'!U12="Yes",'4. Quarterly'!E12="Yes",Z12="Yes",'4. Quarterly'!R12="Yes"),5,IF(AND('4. Quarterly'!S12="Yes",'4. Quarterly'!T12="Yes",'4. Quarterly'!U12="Yes",'4. Quarterly'!E12="Yes",Z12="Yes",'4. Quarterly'!R12="Yes"),4,IF(AND('4. Quarterly'!E12="Yes",Z12="Yes",'4. Quarterly'!R12="Yes"),3,IF(OR(Z12="Yes",'4. Quarterly'!R12="Yes",'4. Quarterly'!E12="Yes"),2,1)))))</f>
        <v/>
      </c>
      <c r="Q12" s="24">
        <f>IF($A12="","",IF(AA12&lt;&gt;"Yes",1,IF(AB12&lt;&gt;"Yes",2,IF(AND('4. Quarterly'!AA12="Yes",'4. Quarterly'!Y12="Yes",'4. Quarterly'!Z12="Yes",ISNUMBER(M12),M12&gt;='10. Thresholds'!$B$7,ISNUMBER(L12),L12&lt;='10. Thresholds'!$B$8),5,IF(AND('4. Quarterly'!Y12="Yes",'4. Quarterly'!Z12="Yes",ISNUMBER(M12),M12&gt;='10. Thresholds'!$B$6),4,3)))))</f>
        <v/>
      </c>
      <c r="R12" s="24">
        <f>IF($A12="","",IF(AND('4. Quarterly'!C12="Yes",'4. Quarterly'!D12="Yes",'4. Quarterly'!E12="Yes",'4. Quarterly'!F12="Yes",'4. Quarterly'!G12="Yes",'4. Quarterly'!H12="Yes",'4. Quarterly'!I12="Yes",'4. Quarterly'!J12="Yes"),5,IF(AND('4. Quarterly'!C12="Yes",'4. Quarterly'!D12="Yes",'4. Quarterly'!E12="Yes",'4. Quarterly'!F12="Yes",'4. Quarterly'!G12="Yes"),4,IF(AND('4. Quarterly'!C12="Yes",'4. Quarterly'!D12="Yes",'4. Quarterly'!E12="Yes"),3,IF(COUNTIF('4. Quarterly'!C12:J12,"Yes")&gt;=2,2,1)))))</f>
        <v/>
      </c>
      <c r="S12" s="24">
        <f>IF($A12="","",MIN(R12,P12,ROUND(AVERAGE(N12,O12,P12,Q12,R12),0)))</f>
        <v/>
      </c>
      <c r="T12" s="4">
        <f>IF($A12="","",$A12&amp;"|"&amp;$B12)</f>
        <v/>
      </c>
      <c r="U12" s="4">
        <f>IF($A12="","No",IF(COUNTIFS('3. Monthly'!$A$4:$A$203,$A12,'3. Monthly'!$C$4:$C$203,$B12,'3. Monthly'!$E$4:$E$203,"&gt;0")&gt;0,"Yes","No"))</f>
        <v/>
      </c>
      <c r="V12" s="4">
        <f>IF($A12="","No",IF(COUNTIFS('3. Monthly'!$A$4:$A$203,$A12,'3. Monthly'!$C$4:$C$203,$B12,'3. Monthly'!$I$4:$I$203,"&gt;0")&gt;0,"Yes","No"))</f>
        <v/>
      </c>
      <c r="W12" s="4">
        <f>IF($A12="","No",IF(COUNTIFS('3. Monthly'!$A$4:$A$203,$A12,'3. Monthly'!$C$4:$C$203,$B12,'3. Monthly'!$K$4:$K$203,"&gt;=0",'3. Monthly'!$L$4:$L$203,"&gt;0")&gt;0,"Yes","No"))</f>
        <v/>
      </c>
      <c r="X12" s="4">
        <f>IF($A12="","No",IF(COUNTIFS('3. Monthly'!$A$4:$A$203,$A12,'3. Monthly'!$C$4:$C$203,$B12,'3. Monthly'!$J$4:$J$203,"&gt;=0",'3. Monthly'!$K$4:$K$203,"&gt;=0",'3. Monthly'!$M$4:$M$203,"&gt;=0",'3. Monthly'!$N$4:$N$203,"&gt;=0",'3. Monthly'!$L$4:$L$203,"&gt;0")&gt;0,"Yes","No"))</f>
        <v/>
      </c>
      <c r="Y12" s="4">
        <f>IF($A12="","No",IF(COUNTIFS('3. Monthly'!$A$4:$A$203,$A12,'3. Monthly'!$C$4:$C$203,$B12,'3. Monthly'!$O$4:$O$203,"&gt;0")&gt;0,"Yes","No"))</f>
        <v/>
      </c>
      <c r="Z12" s="4">
        <f>IF($A12="","No",IF(COUNTIFS('3. Monthly'!$A$4:$A$203,$A12,'3. Monthly'!$C$4:$C$203,$B12,'3. Monthly'!$Q$4:$Q$203,"&gt;=0",'3. Monthly'!$G$4:$G$203,"&gt;0")&gt;0,"Yes","No"))</f>
        <v/>
      </c>
      <c r="AA12" s="4">
        <f>IF($A12="","No",IF(COUNTIFS('3. Monthly'!$A$4:$A$203,$A12,'3. Monthly'!$C$4:$C$203,$B12,'3. Monthly'!$H$4:$H$203,"&gt;0")&gt;0,"Yes","No"))</f>
        <v/>
      </c>
      <c r="AB12" s="4">
        <f>IF($A12="","No",IF(COUNTIFS('3. Monthly'!$A$4:$A$203,$A12,'3. Monthly'!$C$4:$C$203,$B12,'3. Monthly'!$U$4:$U$203,"&gt;=0",'3. Monthly'!$V$4:$V$203,"&gt;=0",'3. Monthly'!$H$4:$H$203,"&gt;0")&gt;0,"Yes","No"))</f>
        <v/>
      </c>
    </row>
    <row r="13">
      <c r="A13" s="4">
        <f>'4. Quarterly'!A13</f>
        <v/>
      </c>
      <c r="B13" s="4">
        <f>'4. Quarterly'!B13</f>
        <v/>
      </c>
      <c r="C13" s="4">
        <f>IFERROR(VLOOKUP($A13,'2. Projects'!$A$3:$B$20,2,0),"")</f>
        <v/>
      </c>
      <c r="D13" s="21">
        <f>IF($A13="","",IFERROR(AVERAGEIFS('5. Metrics'!$D$4:$D$203,'5. Metrics'!$A$4:$A$203,$A13,'5. Metrics'!$C$4:$C$203,$B13),""))</f>
        <v/>
      </c>
      <c r="E13" s="21">
        <f>IF($A13="","",IFERROR(AVERAGEIFS('5. Metrics'!$E$4:$E$203,'5. Metrics'!$A$4:$A$203,$A13,'5. Metrics'!$C$4:$C$203,$B13),""))</f>
        <v/>
      </c>
      <c r="F13" s="21">
        <f>IF($A13="","",IFERROR(AVERAGEIFS('5. Metrics'!$F$4:$F$203,'5. Metrics'!$A$4:$A$203,$A13,'5. Metrics'!$C$4:$C$203,$B13),""))</f>
        <v/>
      </c>
      <c r="G13" s="21">
        <f>IF($A13="","",IFERROR(AVERAGEIFS('5. Metrics'!$I$4:$I$203,'5. Metrics'!$A$4:$A$203,$A13,'5. Metrics'!$C$4:$C$203,$B13),""))</f>
        <v/>
      </c>
      <c r="H13" s="21">
        <f>IF($A13="","",IFERROR(AVERAGEIFS('5. Metrics'!$L$4:$L$203,'5. Metrics'!$A$4:$A$203,$A13,'5. Metrics'!$C$4:$C$203,$B13),""))</f>
        <v/>
      </c>
      <c r="I13" s="21">
        <f>IF($A13="","",IFERROR(AVERAGEIFS('5. Metrics'!$M$4:$M$203,'5. Metrics'!$A$4:$A$203,$A13,'5. Metrics'!$C$4:$C$203,$B13),""))</f>
        <v/>
      </c>
      <c r="J13" s="21">
        <f>IF($A13="","",IFERROR(AVERAGEIFS('5. Metrics'!$N$4:$N$203,'5. Metrics'!$A$4:$A$203,$A13,'5. Metrics'!$C$4:$C$203,$B13),""))</f>
        <v/>
      </c>
      <c r="K13" s="21">
        <f>IF($A13="","",IFERROR(AVERAGEIFS('5. Metrics'!$P$4:$P$203,'5. Metrics'!$A$4:$A$203,$A13,'5. Metrics'!$C$4:$C$203,$B13),""))</f>
        <v/>
      </c>
      <c r="L13" s="21">
        <f>IF($A13="","",IFERROR(AVERAGEIFS('5. Metrics'!$Q$4:$Q$203,'5. Metrics'!$A$4:$A$203,$A13,'5. Metrics'!$C$4:$C$203,$B13),""))</f>
        <v/>
      </c>
      <c r="M13" s="21">
        <f>IF($A13="","",IFERROR(AVERAGEIFS('5. Metrics'!$R$4:$R$203,'5. Metrics'!$A$4:$A$203,$A13,'5. Metrics'!$C$4:$C$203,$B13),""))</f>
        <v/>
      </c>
      <c r="N13" s="24">
        <f>IF($A13="","",IF('4. Quarterly'!L13="Yes",5,IF(AND(ISNUMBER(E13),E13&gt;'10. Thresholds'!$B$4,V13="Yes"),4,IF(AND('4. Quarterly'!K13="Yes",ISNUMBER(E13),E13&gt;='10. Thresholds'!$B$3),3,IF(AND(U13="Yes",ISNUMBER(D13),D13&gt;='10. Thresholds'!$B$5),2,1)))))</f>
        <v/>
      </c>
      <c r="O13" s="24">
        <f>IF($A13="","",IF(AND('4. Quarterly'!P13="Yes",'4. Quarterly'!Q13="Yes",'4. Quarterly'!M13="Yes",'4. Quarterly'!N13="Yes",'4. Quarterly'!O13="Yes",X13="Yes",Y13="Yes"),5,IF(AND('4. Quarterly'!M13="Yes",'4. Quarterly'!N13="Yes",'4. Quarterly'!O13="Yes",X13="Yes",Y13="Yes"),4,IF(AND(X13="Yes",Y13="Yes"),3,IF(W13="Yes",2,1)))))</f>
        <v/>
      </c>
      <c r="P13" s="24">
        <f>IF($A13="","",IF(AND('4. Quarterly'!V13="Yes",'4. Quarterly'!W13="Yes",'4. Quarterly'!X13="Yes",'4. Quarterly'!S13="Yes",'4. Quarterly'!T13="Yes",'4. Quarterly'!U13="Yes",'4. Quarterly'!E13="Yes",Z13="Yes",'4. Quarterly'!R13="Yes"),5,IF(AND('4. Quarterly'!S13="Yes",'4. Quarterly'!T13="Yes",'4. Quarterly'!U13="Yes",'4. Quarterly'!E13="Yes",Z13="Yes",'4. Quarterly'!R13="Yes"),4,IF(AND('4. Quarterly'!E13="Yes",Z13="Yes",'4. Quarterly'!R13="Yes"),3,IF(OR(Z13="Yes",'4. Quarterly'!R13="Yes",'4. Quarterly'!E13="Yes"),2,1)))))</f>
        <v/>
      </c>
      <c r="Q13" s="24">
        <f>IF($A13="","",IF(AA13&lt;&gt;"Yes",1,IF(AB13&lt;&gt;"Yes",2,IF(AND('4. Quarterly'!AA13="Yes",'4. Quarterly'!Y13="Yes",'4. Quarterly'!Z13="Yes",ISNUMBER(M13),M13&gt;='10. Thresholds'!$B$7,ISNUMBER(L13),L13&lt;='10. Thresholds'!$B$8),5,IF(AND('4. Quarterly'!Y13="Yes",'4. Quarterly'!Z13="Yes",ISNUMBER(M13),M13&gt;='10. Thresholds'!$B$6),4,3)))))</f>
        <v/>
      </c>
      <c r="R13" s="24">
        <f>IF($A13="","",IF(AND('4. Quarterly'!C13="Yes",'4. Quarterly'!D13="Yes",'4. Quarterly'!E13="Yes",'4. Quarterly'!F13="Yes",'4. Quarterly'!G13="Yes",'4. Quarterly'!H13="Yes",'4. Quarterly'!I13="Yes",'4. Quarterly'!J13="Yes"),5,IF(AND('4. Quarterly'!C13="Yes",'4. Quarterly'!D13="Yes",'4. Quarterly'!E13="Yes",'4. Quarterly'!F13="Yes",'4. Quarterly'!G13="Yes"),4,IF(AND('4. Quarterly'!C13="Yes",'4. Quarterly'!D13="Yes",'4. Quarterly'!E13="Yes"),3,IF(COUNTIF('4. Quarterly'!C13:J13,"Yes")&gt;=2,2,1)))))</f>
        <v/>
      </c>
      <c r="S13" s="24">
        <f>IF($A13="","",MIN(R13,P13,ROUND(AVERAGE(N13,O13,P13,Q13,R13),0)))</f>
        <v/>
      </c>
      <c r="T13" s="4">
        <f>IF($A13="","",$A13&amp;"|"&amp;$B13)</f>
        <v/>
      </c>
      <c r="U13" s="4">
        <f>IF($A13="","No",IF(COUNTIFS('3. Monthly'!$A$4:$A$203,$A13,'3. Monthly'!$C$4:$C$203,$B13,'3. Monthly'!$E$4:$E$203,"&gt;0")&gt;0,"Yes","No"))</f>
        <v/>
      </c>
      <c r="V13" s="4">
        <f>IF($A13="","No",IF(COUNTIFS('3. Monthly'!$A$4:$A$203,$A13,'3. Monthly'!$C$4:$C$203,$B13,'3. Monthly'!$I$4:$I$203,"&gt;0")&gt;0,"Yes","No"))</f>
        <v/>
      </c>
      <c r="W13" s="4">
        <f>IF($A13="","No",IF(COUNTIFS('3. Monthly'!$A$4:$A$203,$A13,'3. Monthly'!$C$4:$C$203,$B13,'3. Monthly'!$K$4:$K$203,"&gt;=0",'3. Monthly'!$L$4:$L$203,"&gt;0")&gt;0,"Yes","No"))</f>
        <v/>
      </c>
      <c r="X13" s="4">
        <f>IF($A13="","No",IF(COUNTIFS('3. Monthly'!$A$4:$A$203,$A13,'3. Monthly'!$C$4:$C$203,$B13,'3. Monthly'!$J$4:$J$203,"&gt;=0",'3. Monthly'!$K$4:$K$203,"&gt;=0",'3. Monthly'!$M$4:$M$203,"&gt;=0",'3. Monthly'!$N$4:$N$203,"&gt;=0",'3. Monthly'!$L$4:$L$203,"&gt;0")&gt;0,"Yes","No"))</f>
        <v/>
      </c>
      <c r="Y13" s="4">
        <f>IF($A13="","No",IF(COUNTIFS('3. Monthly'!$A$4:$A$203,$A13,'3. Monthly'!$C$4:$C$203,$B13,'3. Monthly'!$O$4:$O$203,"&gt;0")&gt;0,"Yes","No"))</f>
        <v/>
      </c>
      <c r="Z13" s="4">
        <f>IF($A13="","No",IF(COUNTIFS('3. Monthly'!$A$4:$A$203,$A13,'3. Monthly'!$C$4:$C$203,$B13,'3. Monthly'!$Q$4:$Q$203,"&gt;=0",'3. Monthly'!$G$4:$G$203,"&gt;0")&gt;0,"Yes","No"))</f>
        <v/>
      </c>
      <c r="AA13" s="4">
        <f>IF($A13="","No",IF(COUNTIFS('3. Monthly'!$A$4:$A$203,$A13,'3. Monthly'!$C$4:$C$203,$B13,'3. Monthly'!$H$4:$H$203,"&gt;0")&gt;0,"Yes","No"))</f>
        <v/>
      </c>
      <c r="AB13" s="4">
        <f>IF($A13="","No",IF(COUNTIFS('3. Monthly'!$A$4:$A$203,$A13,'3. Monthly'!$C$4:$C$203,$B13,'3. Monthly'!$U$4:$U$203,"&gt;=0",'3. Monthly'!$V$4:$V$203,"&gt;=0",'3. Monthly'!$H$4:$H$203,"&gt;0")&gt;0,"Yes","No"))</f>
        <v/>
      </c>
    </row>
    <row r="14">
      <c r="A14" s="4">
        <f>'4. Quarterly'!A14</f>
        <v/>
      </c>
      <c r="B14" s="4">
        <f>'4. Quarterly'!B14</f>
        <v/>
      </c>
      <c r="C14" s="4">
        <f>IFERROR(VLOOKUP($A14,'2. Projects'!$A$3:$B$20,2,0),"")</f>
        <v/>
      </c>
      <c r="D14" s="21">
        <f>IF($A14="","",IFERROR(AVERAGEIFS('5. Metrics'!$D$4:$D$203,'5. Metrics'!$A$4:$A$203,$A14,'5. Metrics'!$C$4:$C$203,$B14),""))</f>
        <v/>
      </c>
      <c r="E14" s="21">
        <f>IF($A14="","",IFERROR(AVERAGEIFS('5. Metrics'!$E$4:$E$203,'5. Metrics'!$A$4:$A$203,$A14,'5. Metrics'!$C$4:$C$203,$B14),""))</f>
        <v/>
      </c>
      <c r="F14" s="21">
        <f>IF($A14="","",IFERROR(AVERAGEIFS('5. Metrics'!$F$4:$F$203,'5. Metrics'!$A$4:$A$203,$A14,'5. Metrics'!$C$4:$C$203,$B14),""))</f>
        <v/>
      </c>
      <c r="G14" s="21">
        <f>IF($A14="","",IFERROR(AVERAGEIFS('5. Metrics'!$I$4:$I$203,'5. Metrics'!$A$4:$A$203,$A14,'5. Metrics'!$C$4:$C$203,$B14),""))</f>
        <v/>
      </c>
      <c r="H14" s="21">
        <f>IF($A14="","",IFERROR(AVERAGEIFS('5. Metrics'!$L$4:$L$203,'5. Metrics'!$A$4:$A$203,$A14,'5. Metrics'!$C$4:$C$203,$B14),""))</f>
        <v/>
      </c>
      <c r="I14" s="21">
        <f>IF($A14="","",IFERROR(AVERAGEIFS('5. Metrics'!$M$4:$M$203,'5. Metrics'!$A$4:$A$203,$A14,'5. Metrics'!$C$4:$C$203,$B14),""))</f>
        <v/>
      </c>
      <c r="J14" s="21">
        <f>IF($A14="","",IFERROR(AVERAGEIFS('5. Metrics'!$N$4:$N$203,'5. Metrics'!$A$4:$A$203,$A14,'5. Metrics'!$C$4:$C$203,$B14),""))</f>
        <v/>
      </c>
      <c r="K14" s="21">
        <f>IF($A14="","",IFERROR(AVERAGEIFS('5. Metrics'!$P$4:$P$203,'5. Metrics'!$A$4:$A$203,$A14,'5. Metrics'!$C$4:$C$203,$B14),""))</f>
        <v/>
      </c>
      <c r="L14" s="21">
        <f>IF($A14="","",IFERROR(AVERAGEIFS('5. Metrics'!$Q$4:$Q$203,'5. Metrics'!$A$4:$A$203,$A14,'5. Metrics'!$C$4:$C$203,$B14),""))</f>
        <v/>
      </c>
      <c r="M14" s="21">
        <f>IF($A14="","",IFERROR(AVERAGEIFS('5. Metrics'!$R$4:$R$203,'5. Metrics'!$A$4:$A$203,$A14,'5. Metrics'!$C$4:$C$203,$B14),""))</f>
        <v/>
      </c>
      <c r="N14" s="24">
        <f>IF($A14="","",IF('4. Quarterly'!L14="Yes",5,IF(AND(ISNUMBER(E14),E14&gt;'10. Thresholds'!$B$4,V14="Yes"),4,IF(AND('4. Quarterly'!K14="Yes",ISNUMBER(E14),E14&gt;='10. Thresholds'!$B$3),3,IF(AND(U14="Yes",ISNUMBER(D14),D14&gt;='10. Thresholds'!$B$5),2,1)))))</f>
        <v/>
      </c>
      <c r="O14" s="24">
        <f>IF($A14="","",IF(AND('4. Quarterly'!P14="Yes",'4. Quarterly'!Q14="Yes",'4. Quarterly'!M14="Yes",'4. Quarterly'!N14="Yes",'4. Quarterly'!O14="Yes",X14="Yes",Y14="Yes"),5,IF(AND('4. Quarterly'!M14="Yes",'4. Quarterly'!N14="Yes",'4. Quarterly'!O14="Yes",X14="Yes",Y14="Yes"),4,IF(AND(X14="Yes",Y14="Yes"),3,IF(W14="Yes",2,1)))))</f>
        <v/>
      </c>
      <c r="P14" s="24">
        <f>IF($A14="","",IF(AND('4. Quarterly'!V14="Yes",'4. Quarterly'!W14="Yes",'4. Quarterly'!X14="Yes",'4. Quarterly'!S14="Yes",'4. Quarterly'!T14="Yes",'4. Quarterly'!U14="Yes",'4. Quarterly'!E14="Yes",Z14="Yes",'4. Quarterly'!R14="Yes"),5,IF(AND('4. Quarterly'!S14="Yes",'4. Quarterly'!T14="Yes",'4. Quarterly'!U14="Yes",'4. Quarterly'!E14="Yes",Z14="Yes",'4. Quarterly'!R14="Yes"),4,IF(AND('4. Quarterly'!E14="Yes",Z14="Yes",'4. Quarterly'!R14="Yes"),3,IF(OR(Z14="Yes",'4. Quarterly'!R14="Yes",'4. Quarterly'!E14="Yes"),2,1)))))</f>
        <v/>
      </c>
      <c r="Q14" s="24">
        <f>IF($A14="","",IF(AA14&lt;&gt;"Yes",1,IF(AB14&lt;&gt;"Yes",2,IF(AND('4. Quarterly'!AA14="Yes",'4. Quarterly'!Y14="Yes",'4. Quarterly'!Z14="Yes",ISNUMBER(M14),M14&gt;='10. Thresholds'!$B$7,ISNUMBER(L14),L14&lt;='10. Thresholds'!$B$8),5,IF(AND('4. Quarterly'!Y14="Yes",'4. Quarterly'!Z14="Yes",ISNUMBER(M14),M14&gt;='10. Thresholds'!$B$6),4,3)))))</f>
        <v/>
      </c>
      <c r="R14" s="24">
        <f>IF($A14="","",IF(AND('4. Quarterly'!C14="Yes",'4. Quarterly'!D14="Yes",'4. Quarterly'!E14="Yes",'4. Quarterly'!F14="Yes",'4. Quarterly'!G14="Yes",'4. Quarterly'!H14="Yes",'4. Quarterly'!I14="Yes",'4. Quarterly'!J14="Yes"),5,IF(AND('4. Quarterly'!C14="Yes",'4. Quarterly'!D14="Yes",'4. Quarterly'!E14="Yes",'4. Quarterly'!F14="Yes",'4. Quarterly'!G14="Yes"),4,IF(AND('4. Quarterly'!C14="Yes",'4. Quarterly'!D14="Yes",'4. Quarterly'!E14="Yes"),3,IF(COUNTIF('4. Quarterly'!C14:J14,"Yes")&gt;=2,2,1)))))</f>
        <v/>
      </c>
      <c r="S14" s="24">
        <f>IF($A14="","",MIN(R14,P14,ROUND(AVERAGE(N14,O14,P14,Q14,R14),0)))</f>
        <v/>
      </c>
      <c r="T14" s="4">
        <f>IF($A14="","",$A14&amp;"|"&amp;$B14)</f>
        <v/>
      </c>
      <c r="U14" s="4">
        <f>IF($A14="","No",IF(COUNTIFS('3. Monthly'!$A$4:$A$203,$A14,'3. Monthly'!$C$4:$C$203,$B14,'3. Monthly'!$E$4:$E$203,"&gt;0")&gt;0,"Yes","No"))</f>
        <v/>
      </c>
      <c r="V14" s="4">
        <f>IF($A14="","No",IF(COUNTIFS('3. Monthly'!$A$4:$A$203,$A14,'3. Monthly'!$C$4:$C$203,$B14,'3. Monthly'!$I$4:$I$203,"&gt;0")&gt;0,"Yes","No"))</f>
        <v/>
      </c>
      <c r="W14" s="4">
        <f>IF($A14="","No",IF(COUNTIFS('3. Monthly'!$A$4:$A$203,$A14,'3. Monthly'!$C$4:$C$203,$B14,'3. Monthly'!$K$4:$K$203,"&gt;=0",'3. Monthly'!$L$4:$L$203,"&gt;0")&gt;0,"Yes","No"))</f>
        <v/>
      </c>
      <c r="X14" s="4">
        <f>IF($A14="","No",IF(COUNTIFS('3. Monthly'!$A$4:$A$203,$A14,'3. Monthly'!$C$4:$C$203,$B14,'3. Monthly'!$J$4:$J$203,"&gt;=0",'3. Monthly'!$K$4:$K$203,"&gt;=0",'3. Monthly'!$M$4:$M$203,"&gt;=0",'3. Monthly'!$N$4:$N$203,"&gt;=0",'3. Monthly'!$L$4:$L$203,"&gt;0")&gt;0,"Yes","No"))</f>
        <v/>
      </c>
      <c r="Y14" s="4">
        <f>IF($A14="","No",IF(COUNTIFS('3. Monthly'!$A$4:$A$203,$A14,'3. Monthly'!$C$4:$C$203,$B14,'3. Monthly'!$O$4:$O$203,"&gt;0")&gt;0,"Yes","No"))</f>
        <v/>
      </c>
      <c r="Z14" s="4">
        <f>IF($A14="","No",IF(COUNTIFS('3. Monthly'!$A$4:$A$203,$A14,'3. Monthly'!$C$4:$C$203,$B14,'3. Monthly'!$Q$4:$Q$203,"&gt;=0",'3. Monthly'!$G$4:$G$203,"&gt;0")&gt;0,"Yes","No"))</f>
        <v/>
      </c>
      <c r="AA14" s="4">
        <f>IF($A14="","No",IF(COUNTIFS('3. Monthly'!$A$4:$A$203,$A14,'3. Monthly'!$C$4:$C$203,$B14,'3. Monthly'!$H$4:$H$203,"&gt;0")&gt;0,"Yes","No"))</f>
        <v/>
      </c>
      <c r="AB14" s="4">
        <f>IF($A14="","No",IF(COUNTIFS('3. Monthly'!$A$4:$A$203,$A14,'3. Monthly'!$C$4:$C$203,$B14,'3. Monthly'!$U$4:$U$203,"&gt;=0",'3. Monthly'!$V$4:$V$203,"&gt;=0",'3. Monthly'!$H$4:$H$203,"&gt;0")&gt;0,"Yes","No"))</f>
        <v/>
      </c>
    </row>
    <row r="15">
      <c r="A15" s="4">
        <f>'4. Quarterly'!A15</f>
        <v/>
      </c>
      <c r="B15" s="4">
        <f>'4. Quarterly'!B15</f>
        <v/>
      </c>
      <c r="C15" s="4">
        <f>IFERROR(VLOOKUP($A15,'2. Projects'!$A$3:$B$20,2,0),"")</f>
        <v/>
      </c>
      <c r="D15" s="21">
        <f>IF($A15="","",IFERROR(AVERAGEIFS('5. Metrics'!$D$4:$D$203,'5. Metrics'!$A$4:$A$203,$A15,'5. Metrics'!$C$4:$C$203,$B15),""))</f>
        <v/>
      </c>
      <c r="E15" s="21">
        <f>IF($A15="","",IFERROR(AVERAGEIFS('5. Metrics'!$E$4:$E$203,'5. Metrics'!$A$4:$A$203,$A15,'5. Metrics'!$C$4:$C$203,$B15),""))</f>
        <v/>
      </c>
      <c r="F15" s="21">
        <f>IF($A15="","",IFERROR(AVERAGEIFS('5. Metrics'!$F$4:$F$203,'5. Metrics'!$A$4:$A$203,$A15,'5. Metrics'!$C$4:$C$203,$B15),""))</f>
        <v/>
      </c>
      <c r="G15" s="21">
        <f>IF($A15="","",IFERROR(AVERAGEIFS('5. Metrics'!$I$4:$I$203,'5. Metrics'!$A$4:$A$203,$A15,'5. Metrics'!$C$4:$C$203,$B15),""))</f>
        <v/>
      </c>
      <c r="H15" s="21">
        <f>IF($A15="","",IFERROR(AVERAGEIFS('5. Metrics'!$L$4:$L$203,'5. Metrics'!$A$4:$A$203,$A15,'5. Metrics'!$C$4:$C$203,$B15),""))</f>
        <v/>
      </c>
      <c r="I15" s="21">
        <f>IF($A15="","",IFERROR(AVERAGEIFS('5. Metrics'!$M$4:$M$203,'5. Metrics'!$A$4:$A$203,$A15,'5. Metrics'!$C$4:$C$203,$B15),""))</f>
        <v/>
      </c>
      <c r="J15" s="21">
        <f>IF($A15="","",IFERROR(AVERAGEIFS('5. Metrics'!$N$4:$N$203,'5. Metrics'!$A$4:$A$203,$A15,'5. Metrics'!$C$4:$C$203,$B15),""))</f>
        <v/>
      </c>
      <c r="K15" s="21">
        <f>IF($A15="","",IFERROR(AVERAGEIFS('5. Metrics'!$P$4:$P$203,'5. Metrics'!$A$4:$A$203,$A15,'5. Metrics'!$C$4:$C$203,$B15),""))</f>
        <v/>
      </c>
      <c r="L15" s="21">
        <f>IF($A15="","",IFERROR(AVERAGEIFS('5. Metrics'!$Q$4:$Q$203,'5. Metrics'!$A$4:$A$203,$A15,'5. Metrics'!$C$4:$C$203,$B15),""))</f>
        <v/>
      </c>
      <c r="M15" s="21">
        <f>IF($A15="","",IFERROR(AVERAGEIFS('5. Metrics'!$R$4:$R$203,'5. Metrics'!$A$4:$A$203,$A15,'5. Metrics'!$C$4:$C$203,$B15),""))</f>
        <v/>
      </c>
      <c r="N15" s="24">
        <f>IF($A15="","",IF('4. Quarterly'!L15="Yes",5,IF(AND(ISNUMBER(E15),E15&gt;'10. Thresholds'!$B$4,V15="Yes"),4,IF(AND('4. Quarterly'!K15="Yes",ISNUMBER(E15),E15&gt;='10. Thresholds'!$B$3),3,IF(AND(U15="Yes",ISNUMBER(D15),D15&gt;='10. Thresholds'!$B$5),2,1)))))</f>
        <v/>
      </c>
      <c r="O15" s="24">
        <f>IF($A15="","",IF(AND('4. Quarterly'!P15="Yes",'4. Quarterly'!Q15="Yes",'4. Quarterly'!M15="Yes",'4. Quarterly'!N15="Yes",'4. Quarterly'!O15="Yes",X15="Yes",Y15="Yes"),5,IF(AND('4. Quarterly'!M15="Yes",'4. Quarterly'!N15="Yes",'4. Quarterly'!O15="Yes",X15="Yes",Y15="Yes"),4,IF(AND(X15="Yes",Y15="Yes"),3,IF(W15="Yes",2,1)))))</f>
        <v/>
      </c>
      <c r="P15" s="24">
        <f>IF($A15="","",IF(AND('4. Quarterly'!V15="Yes",'4. Quarterly'!W15="Yes",'4. Quarterly'!X15="Yes",'4. Quarterly'!S15="Yes",'4. Quarterly'!T15="Yes",'4. Quarterly'!U15="Yes",'4. Quarterly'!E15="Yes",Z15="Yes",'4. Quarterly'!R15="Yes"),5,IF(AND('4. Quarterly'!S15="Yes",'4. Quarterly'!T15="Yes",'4. Quarterly'!U15="Yes",'4. Quarterly'!E15="Yes",Z15="Yes",'4. Quarterly'!R15="Yes"),4,IF(AND('4. Quarterly'!E15="Yes",Z15="Yes",'4. Quarterly'!R15="Yes"),3,IF(OR(Z15="Yes",'4. Quarterly'!R15="Yes",'4. Quarterly'!E15="Yes"),2,1)))))</f>
        <v/>
      </c>
      <c r="Q15" s="24">
        <f>IF($A15="","",IF(AA15&lt;&gt;"Yes",1,IF(AB15&lt;&gt;"Yes",2,IF(AND('4. Quarterly'!AA15="Yes",'4. Quarterly'!Y15="Yes",'4. Quarterly'!Z15="Yes",ISNUMBER(M15),M15&gt;='10. Thresholds'!$B$7,ISNUMBER(L15),L15&lt;='10. Thresholds'!$B$8),5,IF(AND('4. Quarterly'!Y15="Yes",'4. Quarterly'!Z15="Yes",ISNUMBER(M15),M15&gt;='10. Thresholds'!$B$6),4,3)))))</f>
        <v/>
      </c>
      <c r="R15" s="24">
        <f>IF($A15="","",IF(AND('4. Quarterly'!C15="Yes",'4. Quarterly'!D15="Yes",'4. Quarterly'!E15="Yes",'4. Quarterly'!F15="Yes",'4. Quarterly'!G15="Yes",'4. Quarterly'!H15="Yes",'4. Quarterly'!I15="Yes",'4. Quarterly'!J15="Yes"),5,IF(AND('4. Quarterly'!C15="Yes",'4. Quarterly'!D15="Yes",'4. Quarterly'!E15="Yes",'4. Quarterly'!F15="Yes",'4. Quarterly'!G15="Yes"),4,IF(AND('4. Quarterly'!C15="Yes",'4. Quarterly'!D15="Yes",'4. Quarterly'!E15="Yes"),3,IF(COUNTIF('4. Quarterly'!C15:J15,"Yes")&gt;=2,2,1)))))</f>
        <v/>
      </c>
      <c r="S15" s="24">
        <f>IF($A15="","",MIN(R15,P15,ROUND(AVERAGE(N15,O15,P15,Q15,R15),0)))</f>
        <v/>
      </c>
      <c r="T15" s="4">
        <f>IF($A15="","",$A15&amp;"|"&amp;$B15)</f>
        <v/>
      </c>
      <c r="U15" s="4">
        <f>IF($A15="","No",IF(COUNTIFS('3. Monthly'!$A$4:$A$203,$A15,'3. Monthly'!$C$4:$C$203,$B15,'3. Monthly'!$E$4:$E$203,"&gt;0")&gt;0,"Yes","No"))</f>
        <v/>
      </c>
      <c r="V15" s="4">
        <f>IF($A15="","No",IF(COUNTIFS('3. Monthly'!$A$4:$A$203,$A15,'3. Monthly'!$C$4:$C$203,$B15,'3. Monthly'!$I$4:$I$203,"&gt;0")&gt;0,"Yes","No"))</f>
        <v/>
      </c>
      <c r="W15" s="4">
        <f>IF($A15="","No",IF(COUNTIFS('3. Monthly'!$A$4:$A$203,$A15,'3. Monthly'!$C$4:$C$203,$B15,'3. Monthly'!$K$4:$K$203,"&gt;=0",'3. Monthly'!$L$4:$L$203,"&gt;0")&gt;0,"Yes","No"))</f>
        <v/>
      </c>
      <c r="X15" s="4">
        <f>IF($A15="","No",IF(COUNTIFS('3. Monthly'!$A$4:$A$203,$A15,'3. Monthly'!$C$4:$C$203,$B15,'3. Monthly'!$J$4:$J$203,"&gt;=0",'3. Monthly'!$K$4:$K$203,"&gt;=0",'3. Monthly'!$M$4:$M$203,"&gt;=0",'3. Monthly'!$N$4:$N$203,"&gt;=0",'3. Monthly'!$L$4:$L$203,"&gt;0")&gt;0,"Yes","No"))</f>
        <v/>
      </c>
      <c r="Y15" s="4">
        <f>IF($A15="","No",IF(COUNTIFS('3. Monthly'!$A$4:$A$203,$A15,'3. Monthly'!$C$4:$C$203,$B15,'3. Monthly'!$O$4:$O$203,"&gt;0")&gt;0,"Yes","No"))</f>
        <v/>
      </c>
      <c r="Z15" s="4">
        <f>IF($A15="","No",IF(COUNTIFS('3. Monthly'!$A$4:$A$203,$A15,'3. Monthly'!$C$4:$C$203,$B15,'3. Monthly'!$Q$4:$Q$203,"&gt;=0",'3. Monthly'!$G$4:$G$203,"&gt;0")&gt;0,"Yes","No"))</f>
        <v/>
      </c>
      <c r="AA15" s="4">
        <f>IF($A15="","No",IF(COUNTIFS('3. Monthly'!$A$4:$A$203,$A15,'3. Monthly'!$C$4:$C$203,$B15,'3. Monthly'!$H$4:$H$203,"&gt;0")&gt;0,"Yes","No"))</f>
        <v/>
      </c>
      <c r="AB15" s="4">
        <f>IF($A15="","No",IF(COUNTIFS('3. Monthly'!$A$4:$A$203,$A15,'3. Monthly'!$C$4:$C$203,$B15,'3. Monthly'!$U$4:$U$203,"&gt;=0",'3. Monthly'!$V$4:$V$203,"&gt;=0",'3. Monthly'!$H$4:$H$203,"&gt;0")&gt;0,"Yes","No"))</f>
        <v/>
      </c>
    </row>
    <row r="16">
      <c r="A16" s="4">
        <f>'4. Quarterly'!A16</f>
        <v/>
      </c>
      <c r="B16" s="4">
        <f>'4. Quarterly'!B16</f>
        <v/>
      </c>
      <c r="C16" s="4">
        <f>IFERROR(VLOOKUP($A16,'2. Projects'!$A$3:$B$20,2,0),"")</f>
        <v/>
      </c>
      <c r="D16" s="21">
        <f>IF($A16="","",IFERROR(AVERAGEIFS('5. Metrics'!$D$4:$D$203,'5. Metrics'!$A$4:$A$203,$A16,'5. Metrics'!$C$4:$C$203,$B16),""))</f>
        <v/>
      </c>
      <c r="E16" s="21">
        <f>IF($A16="","",IFERROR(AVERAGEIFS('5. Metrics'!$E$4:$E$203,'5. Metrics'!$A$4:$A$203,$A16,'5. Metrics'!$C$4:$C$203,$B16),""))</f>
        <v/>
      </c>
      <c r="F16" s="21">
        <f>IF($A16="","",IFERROR(AVERAGEIFS('5. Metrics'!$F$4:$F$203,'5. Metrics'!$A$4:$A$203,$A16,'5. Metrics'!$C$4:$C$203,$B16),""))</f>
        <v/>
      </c>
      <c r="G16" s="21">
        <f>IF($A16="","",IFERROR(AVERAGEIFS('5. Metrics'!$I$4:$I$203,'5. Metrics'!$A$4:$A$203,$A16,'5. Metrics'!$C$4:$C$203,$B16),""))</f>
        <v/>
      </c>
      <c r="H16" s="21">
        <f>IF($A16="","",IFERROR(AVERAGEIFS('5. Metrics'!$L$4:$L$203,'5. Metrics'!$A$4:$A$203,$A16,'5. Metrics'!$C$4:$C$203,$B16),""))</f>
        <v/>
      </c>
      <c r="I16" s="21">
        <f>IF($A16="","",IFERROR(AVERAGEIFS('5. Metrics'!$M$4:$M$203,'5. Metrics'!$A$4:$A$203,$A16,'5. Metrics'!$C$4:$C$203,$B16),""))</f>
        <v/>
      </c>
      <c r="J16" s="21">
        <f>IF($A16="","",IFERROR(AVERAGEIFS('5. Metrics'!$N$4:$N$203,'5. Metrics'!$A$4:$A$203,$A16,'5. Metrics'!$C$4:$C$203,$B16),""))</f>
        <v/>
      </c>
      <c r="K16" s="21">
        <f>IF($A16="","",IFERROR(AVERAGEIFS('5. Metrics'!$P$4:$P$203,'5. Metrics'!$A$4:$A$203,$A16,'5. Metrics'!$C$4:$C$203,$B16),""))</f>
        <v/>
      </c>
      <c r="L16" s="21">
        <f>IF($A16="","",IFERROR(AVERAGEIFS('5. Metrics'!$Q$4:$Q$203,'5. Metrics'!$A$4:$A$203,$A16,'5. Metrics'!$C$4:$C$203,$B16),""))</f>
        <v/>
      </c>
      <c r="M16" s="21">
        <f>IF($A16="","",IFERROR(AVERAGEIFS('5. Metrics'!$R$4:$R$203,'5. Metrics'!$A$4:$A$203,$A16,'5. Metrics'!$C$4:$C$203,$B16),""))</f>
        <v/>
      </c>
      <c r="N16" s="24">
        <f>IF($A16="","",IF('4. Quarterly'!L16="Yes",5,IF(AND(ISNUMBER(E16),E16&gt;'10. Thresholds'!$B$4,V16="Yes"),4,IF(AND('4. Quarterly'!K16="Yes",ISNUMBER(E16),E16&gt;='10. Thresholds'!$B$3),3,IF(AND(U16="Yes",ISNUMBER(D16),D16&gt;='10. Thresholds'!$B$5),2,1)))))</f>
        <v/>
      </c>
      <c r="O16" s="24">
        <f>IF($A16="","",IF(AND('4. Quarterly'!P16="Yes",'4. Quarterly'!Q16="Yes",'4. Quarterly'!M16="Yes",'4. Quarterly'!N16="Yes",'4. Quarterly'!O16="Yes",X16="Yes",Y16="Yes"),5,IF(AND('4. Quarterly'!M16="Yes",'4. Quarterly'!N16="Yes",'4. Quarterly'!O16="Yes",X16="Yes",Y16="Yes"),4,IF(AND(X16="Yes",Y16="Yes"),3,IF(W16="Yes",2,1)))))</f>
        <v/>
      </c>
      <c r="P16" s="24">
        <f>IF($A16="","",IF(AND('4. Quarterly'!V16="Yes",'4. Quarterly'!W16="Yes",'4. Quarterly'!X16="Yes",'4. Quarterly'!S16="Yes",'4. Quarterly'!T16="Yes",'4. Quarterly'!U16="Yes",'4. Quarterly'!E16="Yes",Z16="Yes",'4. Quarterly'!R16="Yes"),5,IF(AND('4. Quarterly'!S16="Yes",'4. Quarterly'!T16="Yes",'4. Quarterly'!U16="Yes",'4. Quarterly'!E16="Yes",Z16="Yes",'4. Quarterly'!R16="Yes"),4,IF(AND('4. Quarterly'!E16="Yes",Z16="Yes",'4. Quarterly'!R16="Yes"),3,IF(OR(Z16="Yes",'4. Quarterly'!R16="Yes",'4. Quarterly'!E16="Yes"),2,1)))))</f>
        <v/>
      </c>
      <c r="Q16" s="24">
        <f>IF($A16="","",IF(AA16&lt;&gt;"Yes",1,IF(AB16&lt;&gt;"Yes",2,IF(AND('4. Quarterly'!AA16="Yes",'4. Quarterly'!Y16="Yes",'4. Quarterly'!Z16="Yes",ISNUMBER(M16),M16&gt;='10. Thresholds'!$B$7,ISNUMBER(L16),L16&lt;='10. Thresholds'!$B$8),5,IF(AND('4. Quarterly'!Y16="Yes",'4. Quarterly'!Z16="Yes",ISNUMBER(M16),M16&gt;='10. Thresholds'!$B$6),4,3)))))</f>
        <v/>
      </c>
      <c r="R16" s="24">
        <f>IF($A16="","",IF(AND('4. Quarterly'!C16="Yes",'4. Quarterly'!D16="Yes",'4. Quarterly'!E16="Yes",'4. Quarterly'!F16="Yes",'4. Quarterly'!G16="Yes",'4. Quarterly'!H16="Yes",'4. Quarterly'!I16="Yes",'4. Quarterly'!J16="Yes"),5,IF(AND('4. Quarterly'!C16="Yes",'4. Quarterly'!D16="Yes",'4. Quarterly'!E16="Yes",'4. Quarterly'!F16="Yes",'4. Quarterly'!G16="Yes"),4,IF(AND('4. Quarterly'!C16="Yes",'4. Quarterly'!D16="Yes",'4. Quarterly'!E16="Yes"),3,IF(COUNTIF('4. Quarterly'!C16:J16,"Yes")&gt;=2,2,1)))))</f>
        <v/>
      </c>
      <c r="S16" s="24">
        <f>IF($A16="","",MIN(R16,P16,ROUND(AVERAGE(N16,O16,P16,Q16,R16),0)))</f>
        <v/>
      </c>
      <c r="T16" s="4">
        <f>IF($A16="","",$A16&amp;"|"&amp;$B16)</f>
        <v/>
      </c>
      <c r="U16" s="4">
        <f>IF($A16="","No",IF(COUNTIFS('3. Monthly'!$A$4:$A$203,$A16,'3. Monthly'!$C$4:$C$203,$B16,'3. Monthly'!$E$4:$E$203,"&gt;0")&gt;0,"Yes","No"))</f>
        <v/>
      </c>
      <c r="V16" s="4">
        <f>IF($A16="","No",IF(COUNTIFS('3. Monthly'!$A$4:$A$203,$A16,'3. Monthly'!$C$4:$C$203,$B16,'3. Monthly'!$I$4:$I$203,"&gt;0")&gt;0,"Yes","No"))</f>
        <v/>
      </c>
      <c r="W16" s="4">
        <f>IF($A16="","No",IF(COUNTIFS('3. Monthly'!$A$4:$A$203,$A16,'3. Monthly'!$C$4:$C$203,$B16,'3. Monthly'!$K$4:$K$203,"&gt;=0",'3. Monthly'!$L$4:$L$203,"&gt;0")&gt;0,"Yes","No"))</f>
        <v/>
      </c>
      <c r="X16" s="4">
        <f>IF($A16="","No",IF(COUNTIFS('3. Monthly'!$A$4:$A$203,$A16,'3. Monthly'!$C$4:$C$203,$B16,'3. Monthly'!$J$4:$J$203,"&gt;=0",'3. Monthly'!$K$4:$K$203,"&gt;=0",'3. Monthly'!$M$4:$M$203,"&gt;=0",'3. Monthly'!$N$4:$N$203,"&gt;=0",'3. Monthly'!$L$4:$L$203,"&gt;0")&gt;0,"Yes","No"))</f>
        <v/>
      </c>
      <c r="Y16" s="4">
        <f>IF($A16="","No",IF(COUNTIFS('3. Monthly'!$A$4:$A$203,$A16,'3. Monthly'!$C$4:$C$203,$B16,'3. Monthly'!$O$4:$O$203,"&gt;0")&gt;0,"Yes","No"))</f>
        <v/>
      </c>
      <c r="Z16" s="4">
        <f>IF($A16="","No",IF(COUNTIFS('3. Monthly'!$A$4:$A$203,$A16,'3. Monthly'!$C$4:$C$203,$B16,'3. Monthly'!$Q$4:$Q$203,"&gt;=0",'3. Monthly'!$G$4:$G$203,"&gt;0")&gt;0,"Yes","No"))</f>
        <v/>
      </c>
      <c r="AA16" s="4">
        <f>IF($A16="","No",IF(COUNTIFS('3. Monthly'!$A$4:$A$203,$A16,'3. Monthly'!$C$4:$C$203,$B16,'3. Monthly'!$H$4:$H$203,"&gt;0")&gt;0,"Yes","No"))</f>
        <v/>
      </c>
      <c r="AB16" s="4">
        <f>IF($A16="","No",IF(COUNTIFS('3. Monthly'!$A$4:$A$203,$A16,'3. Monthly'!$C$4:$C$203,$B16,'3. Monthly'!$U$4:$U$203,"&gt;=0",'3. Monthly'!$V$4:$V$203,"&gt;=0",'3. Monthly'!$H$4:$H$203,"&gt;0")&gt;0,"Yes","No"))</f>
        <v/>
      </c>
    </row>
    <row r="17">
      <c r="A17" s="4">
        <f>'4. Quarterly'!A17</f>
        <v/>
      </c>
      <c r="B17" s="4">
        <f>'4. Quarterly'!B17</f>
        <v/>
      </c>
      <c r="C17" s="4">
        <f>IFERROR(VLOOKUP($A17,'2. Projects'!$A$3:$B$20,2,0),"")</f>
        <v/>
      </c>
      <c r="D17" s="21">
        <f>IF($A17="","",IFERROR(AVERAGEIFS('5. Metrics'!$D$4:$D$203,'5. Metrics'!$A$4:$A$203,$A17,'5. Metrics'!$C$4:$C$203,$B17),""))</f>
        <v/>
      </c>
      <c r="E17" s="21">
        <f>IF($A17="","",IFERROR(AVERAGEIFS('5. Metrics'!$E$4:$E$203,'5. Metrics'!$A$4:$A$203,$A17,'5. Metrics'!$C$4:$C$203,$B17),""))</f>
        <v/>
      </c>
      <c r="F17" s="21">
        <f>IF($A17="","",IFERROR(AVERAGEIFS('5. Metrics'!$F$4:$F$203,'5. Metrics'!$A$4:$A$203,$A17,'5. Metrics'!$C$4:$C$203,$B17),""))</f>
        <v/>
      </c>
      <c r="G17" s="21">
        <f>IF($A17="","",IFERROR(AVERAGEIFS('5. Metrics'!$I$4:$I$203,'5. Metrics'!$A$4:$A$203,$A17,'5. Metrics'!$C$4:$C$203,$B17),""))</f>
        <v/>
      </c>
      <c r="H17" s="21">
        <f>IF($A17="","",IFERROR(AVERAGEIFS('5. Metrics'!$L$4:$L$203,'5. Metrics'!$A$4:$A$203,$A17,'5. Metrics'!$C$4:$C$203,$B17),""))</f>
        <v/>
      </c>
      <c r="I17" s="21">
        <f>IF($A17="","",IFERROR(AVERAGEIFS('5. Metrics'!$M$4:$M$203,'5. Metrics'!$A$4:$A$203,$A17,'5. Metrics'!$C$4:$C$203,$B17),""))</f>
        <v/>
      </c>
      <c r="J17" s="21">
        <f>IF($A17="","",IFERROR(AVERAGEIFS('5. Metrics'!$N$4:$N$203,'5. Metrics'!$A$4:$A$203,$A17,'5. Metrics'!$C$4:$C$203,$B17),""))</f>
        <v/>
      </c>
      <c r="K17" s="21">
        <f>IF($A17="","",IFERROR(AVERAGEIFS('5. Metrics'!$P$4:$P$203,'5. Metrics'!$A$4:$A$203,$A17,'5. Metrics'!$C$4:$C$203,$B17),""))</f>
        <v/>
      </c>
      <c r="L17" s="21">
        <f>IF($A17="","",IFERROR(AVERAGEIFS('5. Metrics'!$Q$4:$Q$203,'5. Metrics'!$A$4:$A$203,$A17,'5. Metrics'!$C$4:$C$203,$B17),""))</f>
        <v/>
      </c>
      <c r="M17" s="21">
        <f>IF($A17="","",IFERROR(AVERAGEIFS('5. Metrics'!$R$4:$R$203,'5. Metrics'!$A$4:$A$203,$A17,'5. Metrics'!$C$4:$C$203,$B17),""))</f>
        <v/>
      </c>
      <c r="N17" s="24">
        <f>IF($A17="","",IF('4. Quarterly'!L17="Yes",5,IF(AND(ISNUMBER(E17),E17&gt;'10. Thresholds'!$B$4,V17="Yes"),4,IF(AND('4. Quarterly'!K17="Yes",ISNUMBER(E17),E17&gt;='10. Thresholds'!$B$3),3,IF(AND(U17="Yes",ISNUMBER(D17),D17&gt;='10. Thresholds'!$B$5),2,1)))))</f>
        <v/>
      </c>
      <c r="O17" s="24">
        <f>IF($A17="","",IF(AND('4. Quarterly'!P17="Yes",'4. Quarterly'!Q17="Yes",'4. Quarterly'!M17="Yes",'4. Quarterly'!N17="Yes",'4. Quarterly'!O17="Yes",X17="Yes",Y17="Yes"),5,IF(AND('4. Quarterly'!M17="Yes",'4. Quarterly'!N17="Yes",'4. Quarterly'!O17="Yes",X17="Yes",Y17="Yes"),4,IF(AND(X17="Yes",Y17="Yes"),3,IF(W17="Yes",2,1)))))</f>
        <v/>
      </c>
      <c r="P17" s="24">
        <f>IF($A17="","",IF(AND('4. Quarterly'!V17="Yes",'4. Quarterly'!W17="Yes",'4. Quarterly'!X17="Yes",'4. Quarterly'!S17="Yes",'4. Quarterly'!T17="Yes",'4. Quarterly'!U17="Yes",'4. Quarterly'!E17="Yes",Z17="Yes",'4. Quarterly'!R17="Yes"),5,IF(AND('4. Quarterly'!S17="Yes",'4. Quarterly'!T17="Yes",'4. Quarterly'!U17="Yes",'4. Quarterly'!E17="Yes",Z17="Yes",'4. Quarterly'!R17="Yes"),4,IF(AND('4. Quarterly'!E17="Yes",Z17="Yes",'4. Quarterly'!R17="Yes"),3,IF(OR(Z17="Yes",'4. Quarterly'!R17="Yes",'4. Quarterly'!E17="Yes"),2,1)))))</f>
        <v/>
      </c>
      <c r="Q17" s="24">
        <f>IF($A17="","",IF(AA17&lt;&gt;"Yes",1,IF(AB17&lt;&gt;"Yes",2,IF(AND('4. Quarterly'!AA17="Yes",'4. Quarterly'!Y17="Yes",'4. Quarterly'!Z17="Yes",ISNUMBER(M17),M17&gt;='10. Thresholds'!$B$7,ISNUMBER(L17),L17&lt;='10. Thresholds'!$B$8),5,IF(AND('4. Quarterly'!Y17="Yes",'4. Quarterly'!Z17="Yes",ISNUMBER(M17),M17&gt;='10. Thresholds'!$B$6),4,3)))))</f>
        <v/>
      </c>
      <c r="R17" s="24">
        <f>IF($A17="","",IF(AND('4. Quarterly'!C17="Yes",'4. Quarterly'!D17="Yes",'4. Quarterly'!E17="Yes",'4. Quarterly'!F17="Yes",'4. Quarterly'!G17="Yes",'4. Quarterly'!H17="Yes",'4. Quarterly'!I17="Yes",'4. Quarterly'!J17="Yes"),5,IF(AND('4. Quarterly'!C17="Yes",'4. Quarterly'!D17="Yes",'4. Quarterly'!E17="Yes",'4. Quarterly'!F17="Yes",'4. Quarterly'!G17="Yes"),4,IF(AND('4. Quarterly'!C17="Yes",'4. Quarterly'!D17="Yes",'4. Quarterly'!E17="Yes"),3,IF(COUNTIF('4. Quarterly'!C17:J17,"Yes")&gt;=2,2,1)))))</f>
        <v/>
      </c>
      <c r="S17" s="24">
        <f>IF($A17="","",MIN(R17,P17,ROUND(AVERAGE(N17,O17,P17,Q17,R17),0)))</f>
        <v/>
      </c>
      <c r="T17" s="4">
        <f>IF($A17="","",$A17&amp;"|"&amp;$B17)</f>
        <v/>
      </c>
      <c r="U17" s="4">
        <f>IF($A17="","No",IF(COUNTIFS('3. Monthly'!$A$4:$A$203,$A17,'3. Monthly'!$C$4:$C$203,$B17,'3. Monthly'!$E$4:$E$203,"&gt;0")&gt;0,"Yes","No"))</f>
        <v/>
      </c>
      <c r="V17" s="4">
        <f>IF($A17="","No",IF(COUNTIFS('3. Monthly'!$A$4:$A$203,$A17,'3. Monthly'!$C$4:$C$203,$B17,'3. Monthly'!$I$4:$I$203,"&gt;0")&gt;0,"Yes","No"))</f>
        <v/>
      </c>
      <c r="W17" s="4">
        <f>IF($A17="","No",IF(COUNTIFS('3. Monthly'!$A$4:$A$203,$A17,'3. Monthly'!$C$4:$C$203,$B17,'3. Monthly'!$K$4:$K$203,"&gt;=0",'3. Monthly'!$L$4:$L$203,"&gt;0")&gt;0,"Yes","No"))</f>
        <v/>
      </c>
      <c r="X17" s="4">
        <f>IF($A17="","No",IF(COUNTIFS('3. Monthly'!$A$4:$A$203,$A17,'3. Monthly'!$C$4:$C$203,$B17,'3. Monthly'!$J$4:$J$203,"&gt;=0",'3. Monthly'!$K$4:$K$203,"&gt;=0",'3. Monthly'!$M$4:$M$203,"&gt;=0",'3. Monthly'!$N$4:$N$203,"&gt;=0",'3. Monthly'!$L$4:$L$203,"&gt;0")&gt;0,"Yes","No"))</f>
        <v/>
      </c>
      <c r="Y17" s="4">
        <f>IF($A17="","No",IF(COUNTIFS('3. Monthly'!$A$4:$A$203,$A17,'3. Monthly'!$C$4:$C$203,$B17,'3. Monthly'!$O$4:$O$203,"&gt;0")&gt;0,"Yes","No"))</f>
        <v/>
      </c>
      <c r="Z17" s="4">
        <f>IF($A17="","No",IF(COUNTIFS('3. Monthly'!$A$4:$A$203,$A17,'3. Monthly'!$C$4:$C$203,$B17,'3. Monthly'!$Q$4:$Q$203,"&gt;=0",'3. Monthly'!$G$4:$G$203,"&gt;0")&gt;0,"Yes","No"))</f>
        <v/>
      </c>
      <c r="AA17" s="4">
        <f>IF($A17="","No",IF(COUNTIFS('3. Monthly'!$A$4:$A$203,$A17,'3. Monthly'!$C$4:$C$203,$B17,'3. Monthly'!$H$4:$H$203,"&gt;0")&gt;0,"Yes","No"))</f>
        <v/>
      </c>
      <c r="AB17" s="4">
        <f>IF($A17="","No",IF(COUNTIFS('3. Monthly'!$A$4:$A$203,$A17,'3. Monthly'!$C$4:$C$203,$B17,'3. Monthly'!$U$4:$U$203,"&gt;=0",'3. Monthly'!$V$4:$V$203,"&gt;=0",'3. Monthly'!$H$4:$H$203,"&gt;0")&gt;0,"Yes","No"))</f>
        <v/>
      </c>
    </row>
    <row r="18">
      <c r="A18" s="4">
        <f>'4. Quarterly'!A18</f>
        <v/>
      </c>
      <c r="B18" s="4">
        <f>'4. Quarterly'!B18</f>
        <v/>
      </c>
      <c r="C18" s="4">
        <f>IFERROR(VLOOKUP($A18,'2. Projects'!$A$3:$B$20,2,0),"")</f>
        <v/>
      </c>
      <c r="D18" s="21">
        <f>IF($A18="","",IFERROR(AVERAGEIFS('5. Metrics'!$D$4:$D$203,'5. Metrics'!$A$4:$A$203,$A18,'5. Metrics'!$C$4:$C$203,$B18),""))</f>
        <v/>
      </c>
      <c r="E18" s="21">
        <f>IF($A18="","",IFERROR(AVERAGEIFS('5. Metrics'!$E$4:$E$203,'5. Metrics'!$A$4:$A$203,$A18,'5. Metrics'!$C$4:$C$203,$B18),""))</f>
        <v/>
      </c>
      <c r="F18" s="21">
        <f>IF($A18="","",IFERROR(AVERAGEIFS('5. Metrics'!$F$4:$F$203,'5. Metrics'!$A$4:$A$203,$A18,'5. Metrics'!$C$4:$C$203,$B18),""))</f>
        <v/>
      </c>
      <c r="G18" s="21">
        <f>IF($A18="","",IFERROR(AVERAGEIFS('5. Metrics'!$I$4:$I$203,'5. Metrics'!$A$4:$A$203,$A18,'5. Metrics'!$C$4:$C$203,$B18),""))</f>
        <v/>
      </c>
      <c r="H18" s="21">
        <f>IF($A18="","",IFERROR(AVERAGEIFS('5. Metrics'!$L$4:$L$203,'5. Metrics'!$A$4:$A$203,$A18,'5. Metrics'!$C$4:$C$203,$B18),""))</f>
        <v/>
      </c>
      <c r="I18" s="21">
        <f>IF($A18="","",IFERROR(AVERAGEIFS('5. Metrics'!$M$4:$M$203,'5. Metrics'!$A$4:$A$203,$A18,'5. Metrics'!$C$4:$C$203,$B18),""))</f>
        <v/>
      </c>
      <c r="J18" s="21">
        <f>IF($A18="","",IFERROR(AVERAGEIFS('5. Metrics'!$N$4:$N$203,'5. Metrics'!$A$4:$A$203,$A18,'5. Metrics'!$C$4:$C$203,$B18),""))</f>
        <v/>
      </c>
      <c r="K18" s="21">
        <f>IF($A18="","",IFERROR(AVERAGEIFS('5. Metrics'!$P$4:$P$203,'5. Metrics'!$A$4:$A$203,$A18,'5. Metrics'!$C$4:$C$203,$B18),""))</f>
        <v/>
      </c>
      <c r="L18" s="21">
        <f>IF($A18="","",IFERROR(AVERAGEIFS('5. Metrics'!$Q$4:$Q$203,'5. Metrics'!$A$4:$A$203,$A18,'5. Metrics'!$C$4:$C$203,$B18),""))</f>
        <v/>
      </c>
      <c r="M18" s="21">
        <f>IF($A18="","",IFERROR(AVERAGEIFS('5. Metrics'!$R$4:$R$203,'5. Metrics'!$A$4:$A$203,$A18,'5. Metrics'!$C$4:$C$203,$B18),""))</f>
        <v/>
      </c>
      <c r="N18" s="24">
        <f>IF($A18="","",IF('4. Quarterly'!L18="Yes",5,IF(AND(ISNUMBER(E18),E18&gt;'10. Thresholds'!$B$4,V18="Yes"),4,IF(AND('4. Quarterly'!K18="Yes",ISNUMBER(E18),E18&gt;='10. Thresholds'!$B$3),3,IF(AND(U18="Yes",ISNUMBER(D18),D18&gt;='10. Thresholds'!$B$5),2,1)))))</f>
        <v/>
      </c>
      <c r="O18" s="24">
        <f>IF($A18="","",IF(AND('4. Quarterly'!P18="Yes",'4. Quarterly'!Q18="Yes",'4. Quarterly'!M18="Yes",'4. Quarterly'!N18="Yes",'4. Quarterly'!O18="Yes",X18="Yes",Y18="Yes"),5,IF(AND('4. Quarterly'!M18="Yes",'4. Quarterly'!N18="Yes",'4. Quarterly'!O18="Yes",X18="Yes",Y18="Yes"),4,IF(AND(X18="Yes",Y18="Yes"),3,IF(W18="Yes",2,1)))))</f>
        <v/>
      </c>
      <c r="P18" s="24">
        <f>IF($A18="","",IF(AND('4. Quarterly'!V18="Yes",'4. Quarterly'!W18="Yes",'4. Quarterly'!X18="Yes",'4. Quarterly'!S18="Yes",'4. Quarterly'!T18="Yes",'4. Quarterly'!U18="Yes",'4. Quarterly'!E18="Yes",Z18="Yes",'4. Quarterly'!R18="Yes"),5,IF(AND('4. Quarterly'!S18="Yes",'4. Quarterly'!T18="Yes",'4. Quarterly'!U18="Yes",'4. Quarterly'!E18="Yes",Z18="Yes",'4. Quarterly'!R18="Yes"),4,IF(AND('4. Quarterly'!E18="Yes",Z18="Yes",'4. Quarterly'!R18="Yes"),3,IF(OR(Z18="Yes",'4. Quarterly'!R18="Yes",'4. Quarterly'!E18="Yes"),2,1)))))</f>
        <v/>
      </c>
      <c r="Q18" s="24">
        <f>IF($A18="","",IF(AA18&lt;&gt;"Yes",1,IF(AB18&lt;&gt;"Yes",2,IF(AND('4. Quarterly'!AA18="Yes",'4. Quarterly'!Y18="Yes",'4. Quarterly'!Z18="Yes",ISNUMBER(M18),M18&gt;='10. Thresholds'!$B$7,ISNUMBER(L18),L18&lt;='10. Thresholds'!$B$8),5,IF(AND('4. Quarterly'!Y18="Yes",'4. Quarterly'!Z18="Yes",ISNUMBER(M18),M18&gt;='10. Thresholds'!$B$6),4,3)))))</f>
        <v/>
      </c>
      <c r="R18" s="24">
        <f>IF($A18="","",IF(AND('4. Quarterly'!C18="Yes",'4. Quarterly'!D18="Yes",'4. Quarterly'!E18="Yes",'4. Quarterly'!F18="Yes",'4. Quarterly'!G18="Yes",'4. Quarterly'!H18="Yes",'4. Quarterly'!I18="Yes",'4. Quarterly'!J18="Yes"),5,IF(AND('4. Quarterly'!C18="Yes",'4. Quarterly'!D18="Yes",'4. Quarterly'!E18="Yes",'4. Quarterly'!F18="Yes",'4. Quarterly'!G18="Yes"),4,IF(AND('4. Quarterly'!C18="Yes",'4. Quarterly'!D18="Yes",'4. Quarterly'!E18="Yes"),3,IF(COUNTIF('4. Quarterly'!C18:J18,"Yes")&gt;=2,2,1)))))</f>
        <v/>
      </c>
      <c r="S18" s="24">
        <f>IF($A18="","",MIN(R18,P18,ROUND(AVERAGE(N18,O18,P18,Q18,R18),0)))</f>
        <v/>
      </c>
      <c r="T18" s="4">
        <f>IF($A18="","",$A18&amp;"|"&amp;$B18)</f>
        <v/>
      </c>
      <c r="U18" s="4">
        <f>IF($A18="","No",IF(COUNTIFS('3. Monthly'!$A$4:$A$203,$A18,'3. Monthly'!$C$4:$C$203,$B18,'3. Monthly'!$E$4:$E$203,"&gt;0")&gt;0,"Yes","No"))</f>
        <v/>
      </c>
      <c r="V18" s="4">
        <f>IF($A18="","No",IF(COUNTIFS('3. Monthly'!$A$4:$A$203,$A18,'3. Monthly'!$C$4:$C$203,$B18,'3. Monthly'!$I$4:$I$203,"&gt;0")&gt;0,"Yes","No"))</f>
        <v/>
      </c>
      <c r="W18" s="4">
        <f>IF($A18="","No",IF(COUNTIFS('3. Monthly'!$A$4:$A$203,$A18,'3. Monthly'!$C$4:$C$203,$B18,'3. Monthly'!$K$4:$K$203,"&gt;=0",'3. Monthly'!$L$4:$L$203,"&gt;0")&gt;0,"Yes","No"))</f>
        <v/>
      </c>
      <c r="X18" s="4">
        <f>IF($A18="","No",IF(COUNTIFS('3. Monthly'!$A$4:$A$203,$A18,'3. Monthly'!$C$4:$C$203,$B18,'3. Monthly'!$J$4:$J$203,"&gt;=0",'3. Monthly'!$K$4:$K$203,"&gt;=0",'3. Monthly'!$M$4:$M$203,"&gt;=0",'3. Monthly'!$N$4:$N$203,"&gt;=0",'3. Monthly'!$L$4:$L$203,"&gt;0")&gt;0,"Yes","No"))</f>
        <v/>
      </c>
      <c r="Y18" s="4">
        <f>IF($A18="","No",IF(COUNTIFS('3. Monthly'!$A$4:$A$203,$A18,'3. Monthly'!$C$4:$C$203,$B18,'3. Monthly'!$O$4:$O$203,"&gt;0")&gt;0,"Yes","No"))</f>
        <v/>
      </c>
      <c r="Z18" s="4">
        <f>IF($A18="","No",IF(COUNTIFS('3. Monthly'!$A$4:$A$203,$A18,'3. Monthly'!$C$4:$C$203,$B18,'3. Monthly'!$Q$4:$Q$203,"&gt;=0",'3. Monthly'!$G$4:$G$203,"&gt;0")&gt;0,"Yes","No"))</f>
        <v/>
      </c>
      <c r="AA18" s="4">
        <f>IF($A18="","No",IF(COUNTIFS('3. Monthly'!$A$4:$A$203,$A18,'3. Monthly'!$C$4:$C$203,$B18,'3. Monthly'!$H$4:$H$203,"&gt;0")&gt;0,"Yes","No"))</f>
        <v/>
      </c>
      <c r="AB18" s="4">
        <f>IF($A18="","No",IF(COUNTIFS('3. Monthly'!$A$4:$A$203,$A18,'3. Monthly'!$C$4:$C$203,$B18,'3. Monthly'!$U$4:$U$203,"&gt;=0",'3. Monthly'!$V$4:$V$203,"&gt;=0",'3. Monthly'!$H$4:$H$203,"&gt;0")&gt;0,"Yes","No"))</f>
        <v/>
      </c>
    </row>
    <row r="19">
      <c r="A19" s="4">
        <f>'4. Quarterly'!A19</f>
        <v/>
      </c>
      <c r="B19" s="4">
        <f>'4. Quarterly'!B19</f>
        <v/>
      </c>
      <c r="C19" s="4">
        <f>IFERROR(VLOOKUP($A19,'2. Projects'!$A$3:$B$20,2,0),"")</f>
        <v/>
      </c>
      <c r="D19" s="21">
        <f>IF($A19="","",IFERROR(AVERAGEIFS('5. Metrics'!$D$4:$D$203,'5. Metrics'!$A$4:$A$203,$A19,'5. Metrics'!$C$4:$C$203,$B19),""))</f>
        <v/>
      </c>
      <c r="E19" s="21">
        <f>IF($A19="","",IFERROR(AVERAGEIFS('5. Metrics'!$E$4:$E$203,'5. Metrics'!$A$4:$A$203,$A19,'5. Metrics'!$C$4:$C$203,$B19),""))</f>
        <v/>
      </c>
      <c r="F19" s="21">
        <f>IF($A19="","",IFERROR(AVERAGEIFS('5. Metrics'!$F$4:$F$203,'5. Metrics'!$A$4:$A$203,$A19,'5. Metrics'!$C$4:$C$203,$B19),""))</f>
        <v/>
      </c>
      <c r="G19" s="21">
        <f>IF($A19="","",IFERROR(AVERAGEIFS('5. Metrics'!$I$4:$I$203,'5. Metrics'!$A$4:$A$203,$A19,'5. Metrics'!$C$4:$C$203,$B19),""))</f>
        <v/>
      </c>
      <c r="H19" s="21">
        <f>IF($A19="","",IFERROR(AVERAGEIFS('5. Metrics'!$L$4:$L$203,'5. Metrics'!$A$4:$A$203,$A19,'5. Metrics'!$C$4:$C$203,$B19),""))</f>
        <v/>
      </c>
      <c r="I19" s="21">
        <f>IF($A19="","",IFERROR(AVERAGEIFS('5. Metrics'!$M$4:$M$203,'5. Metrics'!$A$4:$A$203,$A19,'5. Metrics'!$C$4:$C$203,$B19),""))</f>
        <v/>
      </c>
      <c r="J19" s="21">
        <f>IF($A19="","",IFERROR(AVERAGEIFS('5. Metrics'!$N$4:$N$203,'5. Metrics'!$A$4:$A$203,$A19,'5. Metrics'!$C$4:$C$203,$B19),""))</f>
        <v/>
      </c>
      <c r="K19" s="21">
        <f>IF($A19="","",IFERROR(AVERAGEIFS('5. Metrics'!$P$4:$P$203,'5. Metrics'!$A$4:$A$203,$A19,'5. Metrics'!$C$4:$C$203,$B19),""))</f>
        <v/>
      </c>
      <c r="L19" s="21">
        <f>IF($A19="","",IFERROR(AVERAGEIFS('5. Metrics'!$Q$4:$Q$203,'5. Metrics'!$A$4:$A$203,$A19,'5. Metrics'!$C$4:$C$203,$B19),""))</f>
        <v/>
      </c>
      <c r="M19" s="21">
        <f>IF($A19="","",IFERROR(AVERAGEIFS('5. Metrics'!$R$4:$R$203,'5. Metrics'!$A$4:$A$203,$A19,'5. Metrics'!$C$4:$C$203,$B19),""))</f>
        <v/>
      </c>
      <c r="N19" s="24">
        <f>IF($A19="","",IF('4. Quarterly'!L19="Yes",5,IF(AND(ISNUMBER(E19),E19&gt;'10. Thresholds'!$B$4,V19="Yes"),4,IF(AND('4. Quarterly'!K19="Yes",ISNUMBER(E19),E19&gt;='10. Thresholds'!$B$3),3,IF(AND(U19="Yes",ISNUMBER(D19),D19&gt;='10. Thresholds'!$B$5),2,1)))))</f>
        <v/>
      </c>
      <c r="O19" s="24">
        <f>IF($A19="","",IF(AND('4. Quarterly'!P19="Yes",'4. Quarterly'!Q19="Yes",'4. Quarterly'!M19="Yes",'4. Quarterly'!N19="Yes",'4. Quarterly'!O19="Yes",X19="Yes",Y19="Yes"),5,IF(AND('4. Quarterly'!M19="Yes",'4. Quarterly'!N19="Yes",'4. Quarterly'!O19="Yes",X19="Yes",Y19="Yes"),4,IF(AND(X19="Yes",Y19="Yes"),3,IF(W19="Yes",2,1)))))</f>
        <v/>
      </c>
      <c r="P19" s="24">
        <f>IF($A19="","",IF(AND('4. Quarterly'!V19="Yes",'4. Quarterly'!W19="Yes",'4. Quarterly'!X19="Yes",'4. Quarterly'!S19="Yes",'4. Quarterly'!T19="Yes",'4. Quarterly'!U19="Yes",'4. Quarterly'!E19="Yes",Z19="Yes",'4. Quarterly'!R19="Yes"),5,IF(AND('4. Quarterly'!S19="Yes",'4. Quarterly'!T19="Yes",'4. Quarterly'!U19="Yes",'4. Quarterly'!E19="Yes",Z19="Yes",'4. Quarterly'!R19="Yes"),4,IF(AND('4. Quarterly'!E19="Yes",Z19="Yes",'4. Quarterly'!R19="Yes"),3,IF(OR(Z19="Yes",'4. Quarterly'!R19="Yes",'4. Quarterly'!E19="Yes"),2,1)))))</f>
        <v/>
      </c>
      <c r="Q19" s="24">
        <f>IF($A19="","",IF(AA19&lt;&gt;"Yes",1,IF(AB19&lt;&gt;"Yes",2,IF(AND('4. Quarterly'!AA19="Yes",'4. Quarterly'!Y19="Yes",'4. Quarterly'!Z19="Yes",ISNUMBER(M19),M19&gt;='10. Thresholds'!$B$7,ISNUMBER(L19),L19&lt;='10. Thresholds'!$B$8),5,IF(AND('4. Quarterly'!Y19="Yes",'4. Quarterly'!Z19="Yes",ISNUMBER(M19),M19&gt;='10. Thresholds'!$B$6),4,3)))))</f>
        <v/>
      </c>
      <c r="R19" s="24">
        <f>IF($A19="","",IF(AND('4. Quarterly'!C19="Yes",'4. Quarterly'!D19="Yes",'4. Quarterly'!E19="Yes",'4. Quarterly'!F19="Yes",'4. Quarterly'!G19="Yes",'4. Quarterly'!H19="Yes",'4. Quarterly'!I19="Yes",'4. Quarterly'!J19="Yes"),5,IF(AND('4. Quarterly'!C19="Yes",'4. Quarterly'!D19="Yes",'4. Quarterly'!E19="Yes",'4. Quarterly'!F19="Yes",'4. Quarterly'!G19="Yes"),4,IF(AND('4. Quarterly'!C19="Yes",'4. Quarterly'!D19="Yes",'4. Quarterly'!E19="Yes"),3,IF(COUNTIF('4. Quarterly'!C19:J19,"Yes")&gt;=2,2,1)))))</f>
        <v/>
      </c>
      <c r="S19" s="24">
        <f>IF($A19="","",MIN(R19,P19,ROUND(AVERAGE(N19,O19,P19,Q19,R19),0)))</f>
        <v/>
      </c>
      <c r="T19" s="4">
        <f>IF($A19="","",$A19&amp;"|"&amp;$B19)</f>
        <v/>
      </c>
      <c r="U19" s="4">
        <f>IF($A19="","No",IF(COUNTIFS('3. Monthly'!$A$4:$A$203,$A19,'3. Monthly'!$C$4:$C$203,$B19,'3. Monthly'!$E$4:$E$203,"&gt;0")&gt;0,"Yes","No"))</f>
        <v/>
      </c>
      <c r="V19" s="4">
        <f>IF($A19="","No",IF(COUNTIFS('3. Monthly'!$A$4:$A$203,$A19,'3. Monthly'!$C$4:$C$203,$B19,'3. Monthly'!$I$4:$I$203,"&gt;0")&gt;0,"Yes","No"))</f>
        <v/>
      </c>
      <c r="W19" s="4">
        <f>IF($A19="","No",IF(COUNTIFS('3. Monthly'!$A$4:$A$203,$A19,'3. Monthly'!$C$4:$C$203,$B19,'3. Monthly'!$K$4:$K$203,"&gt;=0",'3. Monthly'!$L$4:$L$203,"&gt;0")&gt;0,"Yes","No"))</f>
        <v/>
      </c>
      <c r="X19" s="4">
        <f>IF($A19="","No",IF(COUNTIFS('3. Monthly'!$A$4:$A$203,$A19,'3. Monthly'!$C$4:$C$203,$B19,'3. Monthly'!$J$4:$J$203,"&gt;=0",'3. Monthly'!$K$4:$K$203,"&gt;=0",'3. Monthly'!$M$4:$M$203,"&gt;=0",'3. Monthly'!$N$4:$N$203,"&gt;=0",'3. Monthly'!$L$4:$L$203,"&gt;0")&gt;0,"Yes","No"))</f>
        <v/>
      </c>
      <c r="Y19" s="4">
        <f>IF($A19="","No",IF(COUNTIFS('3. Monthly'!$A$4:$A$203,$A19,'3. Monthly'!$C$4:$C$203,$B19,'3. Monthly'!$O$4:$O$203,"&gt;0")&gt;0,"Yes","No"))</f>
        <v/>
      </c>
      <c r="Z19" s="4">
        <f>IF($A19="","No",IF(COUNTIFS('3. Monthly'!$A$4:$A$203,$A19,'3. Monthly'!$C$4:$C$203,$B19,'3. Monthly'!$Q$4:$Q$203,"&gt;=0",'3. Monthly'!$G$4:$G$203,"&gt;0")&gt;0,"Yes","No"))</f>
        <v/>
      </c>
      <c r="AA19" s="4">
        <f>IF($A19="","No",IF(COUNTIFS('3. Monthly'!$A$4:$A$203,$A19,'3. Monthly'!$C$4:$C$203,$B19,'3. Monthly'!$H$4:$H$203,"&gt;0")&gt;0,"Yes","No"))</f>
        <v/>
      </c>
      <c r="AB19" s="4">
        <f>IF($A19="","No",IF(COUNTIFS('3. Monthly'!$A$4:$A$203,$A19,'3. Monthly'!$C$4:$C$203,$B19,'3. Monthly'!$U$4:$U$203,"&gt;=0",'3. Monthly'!$V$4:$V$203,"&gt;=0",'3. Monthly'!$H$4:$H$203,"&gt;0")&gt;0,"Yes","No"))</f>
        <v/>
      </c>
    </row>
    <row r="20">
      <c r="A20" s="4">
        <f>'4. Quarterly'!A20</f>
        <v/>
      </c>
      <c r="B20" s="4">
        <f>'4. Quarterly'!B20</f>
        <v/>
      </c>
      <c r="C20" s="4">
        <f>IFERROR(VLOOKUP($A20,'2. Projects'!$A$3:$B$20,2,0),"")</f>
        <v/>
      </c>
      <c r="D20" s="21">
        <f>IF($A20="","",IFERROR(AVERAGEIFS('5. Metrics'!$D$4:$D$203,'5. Metrics'!$A$4:$A$203,$A20,'5. Metrics'!$C$4:$C$203,$B20),""))</f>
        <v/>
      </c>
      <c r="E20" s="21">
        <f>IF($A20="","",IFERROR(AVERAGEIFS('5. Metrics'!$E$4:$E$203,'5. Metrics'!$A$4:$A$203,$A20,'5. Metrics'!$C$4:$C$203,$B20),""))</f>
        <v/>
      </c>
      <c r="F20" s="21">
        <f>IF($A20="","",IFERROR(AVERAGEIFS('5. Metrics'!$F$4:$F$203,'5. Metrics'!$A$4:$A$203,$A20,'5. Metrics'!$C$4:$C$203,$B20),""))</f>
        <v/>
      </c>
      <c r="G20" s="21">
        <f>IF($A20="","",IFERROR(AVERAGEIFS('5. Metrics'!$I$4:$I$203,'5. Metrics'!$A$4:$A$203,$A20,'5. Metrics'!$C$4:$C$203,$B20),""))</f>
        <v/>
      </c>
      <c r="H20" s="21">
        <f>IF($A20="","",IFERROR(AVERAGEIFS('5. Metrics'!$L$4:$L$203,'5. Metrics'!$A$4:$A$203,$A20,'5. Metrics'!$C$4:$C$203,$B20),""))</f>
        <v/>
      </c>
      <c r="I20" s="21">
        <f>IF($A20="","",IFERROR(AVERAGEIFS('5. Metrics'!$M$4:$M$203,'5. Metrics'!$A$4:$A$203,$A20,'5. Metrics'!$C$4:$C$203,$B20),""))</f>
        <v/>
      </c>
      <c r="J20" s="21">
        <f>IF($A20="","",IFERROR(AVERAGEIFS('5. Metrics'!$N$4:$N$203,'5. Metrics'!$A$4:$A$203,$A20,'5. Metrics'!$C$4:$C$203,$B20),""))</f>
        <v/>
      </c>
      <c r="K20" s="21">
        <f>IF($A20="","",IFERROR(AVERAGEIFS('5. Metrics'!$P$4:$P$203,'5. Metrics'!$A$4:$A$203,$A20,'5. Metrics'!$C$4:$C$203,$B20),""))</f>
        <v/>
      </c>
      <c r="L20" s="21">
        <f>IF($A20="","",IFERROR(AVERAGEIFS('5. Metrics'!$Q$4:$Q$203,'5. Metrics'!$A$4:$A$203,$A20,'5. Metrics'!$C$4:$C$203,$B20),""))</f>
        <v/>
      </c>
      <c r="M20" s="21">
        <f>IF($A20="","",IFERROR(AVERAGEIFS('5. Metrics'!$R$4:$R$203,'5. Metrics'!$A$4:$A$203,$A20,'5. Metrics'!$C$4:$C$203,$B20),""))</f>
        <v/>
      </c>
      <c r="N20" s="24">
        <f>IF($A20="","",IF('4. Quarterly'!L20="Yes",5,IF(AND(ISNUMBER(E20),E20&gt;'10. Thresholds'!$B$4,V20="Yes"),4,IF(AND('4. Quarterly'!K20="Yes",ISNUMBER(E20),E20&gt;='10. Thresholds'!$B$3),3,IF(AND(U20="Yes",ISNUMBER(D20),D20&gt;='10. Thresholds'!$B$5),2,1)))))</f>
        <v/>
      </c>
      <c r="O20" s="24">
        <f>IF($A20="","",IF(AND('4. Quarterly'!P20="Yes",'4. Quarterly'!Q20="Yes",'4. Quarterly'!M20="Yes",'4. Quarterly'!N20="Yes",'4. Quarterly'!O20="Yes",X20="Yes",Y20="Yes"),5,IF(AND('4. Quarterly'!M20="Yes",'4. Quarterly'!N20="Yes",'4. Quarterly'!O20="Yes",X20="Yes",Y20="Yes"),4,IF(AND(X20="Yes",Y20="Yes"),3,IF(W20="Yes",2,1)))))</f>
        <v/>
      </c>
      <c r="P20" s="24">
        <f>IF($A20="","",IF(AND('4. Quarterly'!V20="Yes",'4. Quarterly'!W20="Yes",'4. Quarterly'!X20="Yes",'4. Quarterly'!S20="Yes",'4. Quarterly'!T20="Yes",'4. Quarterly'!U20="Yes",'4. Quarterly'!E20="Yes",Z20="Yes",'4. Quarterly'!R20="Yes"),5,IF(AND('4. Quarterly'!S20="Yes",'4. Quarterly'!T20="Yes",'4. Quarterly'!U20="Yes",'4. Quarterly'!E20="Yes",Z20="Yes",'4. Quarterly'!R20="Yes"),4,IF(AND('4. Quarterly'!E20="Yes",Z20="Yes",'4. Quarterly'!R20="Yes"),3,IF(OR(Z20="Yes",'4. Quarterly'!R20="Yes",'4. Quarterly'!E20="Yes"),2,1)))))</f>
        <v/>
      </c>
      <c r="Q20" s="24">
        <f>IF($A20="","",IF(AA20&lt;&gt;"Yes",1,IF(AB20&lt;&gt;"Yes",2,IF(AND('4. Quarterly'!AA20="Yes",'4. Quarterly'!Y20="Yes",'4. Quarterly'!Z20="Yes",ISNUMBER(M20),M20&gt;='10. Thresholds'!$B$7,ISNUMBER(L20),L20&lt;='10. Thresholds'!$B$8),5,IF(AND('4. Quarterly'!Y20="Yes",'4. Quarterly'!Z20="Yes",ISNUMBER(M20),M20&gt;='10. Thresholds'!$B$6),4,3)))))</f>
        <v/>
      </c>
      <c r="R20" s="24">
        <f>IF($A20="","",IF(AND('4. Quarterly'!C20="Yes",'4. Quarterly'!D20="Yes",'4. Quarterly'!E20="Yes",'4. Quarterly'!F20="Yes",'4. Quarterly'!G20="Yes",'4. Quarterly'!H20="Yes",'4. Quarterly'!I20="Yes",'4. Quarterly'!J20="Yes"),5,IF(AND('4. Quarterly'!C20="Yes",'4. Quarterly'!D20="Yes",'4. Quarterly'!E20="Yes",'4. Quarterly'!F20="Yes",'4. Quarterly'!G20="Yes"),4,IF(AND('4. Quarterly'!C20="Yes",'4. Quarterly'!D20="Yes",'4. Quarterly'!E20="Yes"),3,IF(COUNTIF('4. Quarterly'!C20:J20,"Yes")&gt;=2,2,1)))))</f>
        <v/>
      </c>
      <c r="S20" s="24">
        <f>IF($A20="","",MIN(R20,P20,ROUND(AVERAGE(N20,O20,P20,Q20,R20),0)))</f>
        <v/>
      </c>
      <c r="T20" s="4">
        <f>IF($A20="","",$A20&amp;"|"&amp;$B20)</f>
        <v/>
      </c>
      <c r="U20" s="4">
        <f>IF($A20="","No",IF(COUNTIFS('3. Monthly'!$A$4:$A$203,$A20,'3. Monthly'!$C$4:$C$203,$B20,'3. Monthly'!$E$4:$E$203,"&gt;0")&gt;0,"Yes","No"))</f>
        <v/>
      </c>
      <c r="V20" s="4">
        <f>IF($A20="","No",IF(COUNTIFS('3. Monthly'!$A$4:$A$203,$A20,'3. Monthly'!$C$4:$C$203,$B20,'3. Monthly'!$I$4:$I$203,"&gt;0")&gt;0,"Yes","No"))</f>
        <v/>
      </c>
      <c r="W20" s="4">
        <f>IF($A20="","No",IF(COUNTIFS('3. Monthly'!$A$4:$A$203,$A20,'3. Monthly'!$C$4:$C$203,$B20,'3. Monthly'!$K$4:$K$203,"&gt;=0",'3. Monthly'!$L$4:$L$203,"&gt;0")&gt;0,"Yes","No"))</f>
        <v/>
      </c>
      <c r="X20" s="4">
        <f>IF($A20="","No",IF(COUNTIFS('3. Monthly'!$A$4:$A$203,$A20,'3. Monthly'!$C$4:$C$203,$B20,'3. Monthly'!$J$4:$J$203,"&gt;=0",'3. Monthly'!$K$4:$K$203,"&gt;=0",'3. Monthly'!$M$4:$M$203,"&gt;=0",'3. Monthly'!$N$4:$N$203,"&gt;=0",'3. Monthly'!$L$4:$L$203,"&gt;0")&gt;0,"Yes","No"))</f>
        <v/>
      </c>
      <c r="Y20" s="4">
        <f>IF($A20="","No",IF(COUNTIFS('3. Monthly'!$A$4:$A$203,$A20,'3. Monthly'!$C$4:$C$203,$B20,'3. Monthly'!$O$4:$O$203,"&gt;0")&gt;0,"Yes","No"))</f>
        <v/>
      </c>
      <c r="Z20" s="4">
        <f>IF($A20="","No",IF(COUNTIFS('3. Monthly'!$A$4:$A$203,$A20,'3. Monthly'!$C$4:$C$203,$B20,'3. Monthly'!$Q$4:$Q$203,"&gt;=0",'3. Monthly'!$G$4:$G$203,"&gt;0")&gt;0,"Yes","No"))</f>
        <v/>
      </c>
      <c r="AA20" s="4">
        <f>IF($A20="","No",IF(COUNTIFS('3. Monthly'!$A$4:$A$203,$A20,'3. Monthly'!$C$4:$C$203,$B20,'3. Monthly'!$H$4:$H$203,"&gt;0")&gt;0,"Yes","No"))</f>
        <v/>
      </c>
      <c r="AB20" s="4">
        <f>IF($A20="","No",IF(COUNTIFS('3. Monthly'!$A$4:$A$203,$A20,'3. Monthly'!$C$4:$C$203,$B20,'3. Monthly'!$U$4:$U$203,"&gt;=0",'3. Monthly'!$V$4:$V$203,"&gt;=0",'3. Monthly'!$H$4:$H$203,"&gt;0")&gt;0,"Yes","No"))</f>
        <v/>
      </c>
    </row>
    <row r="21">
      <c r="A21" s="4">
        <f>'4. Quarterly'!A21</f>
        <v/>
      </c>
      <c r="B21" s="4">
        <f>'4. Quarterly'!B21</f>
        <v/>
      </c>
      <c r="C21" s="4">
        <f>IFERROR(VLOOKUP($A21,'2. Projects'!$A$3:$B$20,2,0),"")</f>
        <v/>
      </c>
      <c r="D21" s="21">
        <f>IF($A21="","",IFERROR(AVERAGEIFS('5. Metrics'!$D$4:$D$203,'5. Metrics'!$A$4:$A$203,$A21,'5. Metrics'!$C$4:$C$203,$B21),""))</f>
        <v/>
      </c>
      <c r="E21" s="21">
        <f>IF($A21="","",IFERROR(AVERAGEIFS('5. Metrics'!$E$4:$E$203,'5. Metrics'!$A$4:$A$203,$A21,'5. Metrics'!$C$4:$C$203,$B21),""))</f>
        <v/>
      </c>
      <c r="F21" s="21">
        <f>IF($A21="","",IFERROR(AVERAGEIFS('5. Metrics'!$F$4:$F$203,'5. Metrics'!$A$4:$A$203,$A21,'5. Metrics'!$C$4:$C$203,$B21),""))</f>
        <v/>
      </c>
      <c r="G21" s="21">
        <f>IF($A21="","",IFERROR(AVERAGEIFS('5. Metrics'!$I$4:$I$203,'5. Metrics'!$A$4:$A$203,$A21,'5. Metrics'!$C$4:$C$203,$B21),""))</f>
        <v/>
      </c>
      <c r="H21" s="21">
        <f>IF($A21="","",IFERROR(AVERAGEIFS('5. Metrics'!$L$4:$L$203,'5. Metrics'!$A$4:$A$203,$A21,'5. Metrics'!$C$4:$C$203,$B21),""))</f>
        <v/>
      </c>
      <c r="I21" s="21">
        <f>IF($A21="","",IFERROR(AVERAGEIFS('5. Metrics'!$M$4:$M$203,'5. Metrics'!$A$4:$A$203,$A21,'5. Metrics'!$C$4:$C$203,$B21),""))</f>
        <v/>
      </c>
      <c r="J21" s="21">
        <f>IF($A21="","",IFERROR(AVERAGEIFS('5. Metrics'!$N$4:$N$203,'5. Metrics'!$A$4:$A$203,$A21,'5. Metrics'!$C$4:$C$203,$B21),""))</f>
        <v/>
      </c>
      <c r="K21" s="21">
        <f>IF($A21="","",IFERROR(AVERAGEIFS('5. Metrics'!$P$4:$P$203,'5. Metrics'!$A$4:$A$203,$A21,'5. Metrics'!$C$4:$C$203,$B21),""))</f>
        <v/>
      </c>
      <c r="L21" s="21">
        <f>IF($A21="","",IFERROR(AVERAGEIFS('5. Metrics'!$Q$4:$Q$203,'5. Metrics'!$A$4:$A$203,$A21,'5. Metrics'!$C$4:$C$203,$B21),""))</f>
        <v/>
      </c>
      <c r="M21" s="21">
        <f>IF($A21="","",IFERROR(AVERAGEIFS('5. Metrics'!$R$4:$R$203,'5. Metrics'!$A$4:$A$203,$A21,'5. Metrics'!$C$4:$C$203,$B21),""))</f>
        <v/>
      </c>
      <c r="N21" s="24">
        <f>IF($A21="","",IF('4. Quarterly'!L21="Yes",5,IF(AND(ISNUMBER(E21),E21&gt;'10. Thresholds'!$B$4,V21="Yes"),4,IF(AND('4. Quarterly'!K21="Yes",ISNUMBER(E21),E21&gt;='10. Thresholds'!$B$3),3,IF(AND(U21="Yes",ISNUMBER(D21),D21&gt;='10. Thresholds'!$B$5),2,1)))))</f>
        <v/>
      </c>
      <c r="O21" s="24">
        <f>IF($A21="","",IF(AND('4. Quarterly'!P21="Yes",'4. Quarterly'!Q21="Yes",'4. Quarterly'!M21="Yes",'4. Quarterly'!N21="Yes",'4. Quarterly'!O21="Yes",X21="Yes",Y21="Yes"),5,IF(AND('4. Quarterly'!M21="Yes",'4. Quarterly'!N21="Yes",'4. Quarterly'!O21="Yes",X21="Yes",Y21="Yes"),4,IF(AND(X21="Yes",Y21="Yes"),3,IF(W21="Yes",2,1)))))</f>
        <v/>
      </c>
      <c r="P21" s="24">
        <f>IF($A21="","",IF(AND('4. Quarterly'!V21="Yes",'4. Quarterly'!W21="Yes",'4. Quarterly'!X21="Yes",'4. Quarterly'!S21="Yes",'4. Quarterly'!T21="Yes",'4. Quarterly'!U21="Yes",'4. Quarterly'!E21="Yes",Z21="Yes",'4. Quarterly'!R21="Yes"),5,IF(AND('4. Quarterly'!S21="Yes",'4. Quarterly'!T21="Yes",'4. Quarterly'!U21="Yes",'4. Quarterly'!E21="Yes",Z21="Yes",'4. Quarterly'!R21="Yes"),4,IF(AND('4. Quarterly'!E21="Yes",Z21="Yes",'4. Quarterly'!R21="Yes"),3,IF(OR(Z21="Yes",'4. Quarterly'!R21="Yes",'4. Quarterly'!E21="Yes"),2,1)))))</f>
        <v/>
      </c>
      <c r="Q21" s="24">
        <f>IF($A21="","",IF(AA21&lt;&gt;"Yes",1,IF(AB21&lt;&gt;"Yes",2,IF(AND('4. Quarterly'!AA21="Yes",'4. Quarterly'!Y21="Yes",'4. Quarterly'!Z21="Yes",ISNUMBER(M21),M21&gt;='10. Thresholds'!$B$7,ISNUMBER(L21),L21&lt;='10. Thresholds'!$B$8),5,IF(AND('4. Quarterly'!Y21="Yes",'4. Quarterly'!Z21="Yes",ISNUMBER(M21),M21&gt;='10. Thresholds'!$B$6),4,3)))))</f>
        <v/>
      </c>
      <c r="R21" s="24">
        <f>IF($A21="","",IF(AND('4. Quarterly'!C21="Yes",'4. Quarterly'!D21="Yes",'4. Quarterly'!E21="Yes",'4. Quarterly'!F21="Yes",'4. Quarterly'!G21="Yes",'4. Quarterly'!H21="Yes",'4. Quarterly'!I21="Yes",'4. Quarterly'!J21="Yes"),5,IF(AND('4. Quarterly'!C21="Yes",'4. Quarterly'!D21="Yes",'4. Quarterly'!E21="Yes",'4. Quarterly'!F21="Yes",'4. Quarterly'!G21="Yes"),4,IF(AND('4. Quarterly'!C21="Yes",'4. Quarterly'!D21="Yes",'4. Quarterly'!E21="Yes"),3,IF(COUNTIF('4. Quarterly'!C21:J21,"Yes")&gt;=2,2,1)))))</f>
        <v/>
      </c>
      <c r="S21" s="24">
        <f>IF($A21="","",MIN(R21,P21,ROUND(AVERAGE(N21,O21,P21,Q21,R21),0)))</f>
        <v/>
      </c>
      <c r="T21" s="4">
        <f>IF($A21="","",$A21&amp;"|"&amp;$B21)</f>
        <v/>
      </c>
      <c r="U21" s="4">
        <f>IF($A21="","No",IF(COUNTIFS('3. Monthly'!$A$4:$A$203,$A21,'3. Monthly'!$C$4:$C$203,$B21,'3. Monthly'!$E$4:$E$203,"&gt;0")&gt;0,"Yes","No"))</f>
        <v/>
      </c>
      <c r="V21" s="4">
        <f>IF($A21="","No",IF(COUNTIFS('3. Monthly'!$A$4:$A$203,$A21,'3. Monthly'!$C$4:$C$203,$B21,'3. Monthly'!$I$4:$I$203,"&gt;0")&gt;0,"Yes","No"))</f>
        <v/>
      </c>
      <c r="W21" s="4">
        <f>IF($A21="","No",IF(COUNTIFS('3. Monthly'!$A$4:$A$203,$A21,'3. Monthly'!$C$4:$C$203,$B21,'3. Monthly'!$K$4:$K$203,"&gt;=0",'3. Monthly'!$L$4:$L$203,"&gt;0")&gt;0,"Yes","No"))</f>
        <v/>
      </c>
      <c r="X21" s="4">
        <f>IF($A21="","No",IF(COUNTIFS('3. Monthly'!$A$4:$A$203,$A21,'3. Monthly'!$C$4:$C$203,$B21,'3. Monthly'!$J$4:$J$203,"&gt;=0",'3. Monthly'!$K$4:$K$203,"&gt;=0",'3. Monthly'!$M$4:$M$203,"&gt;=0",'3. Monthly'!$N$4:$N$203,"&gt;=0",'3. Monthly'!$L$4:$L$203,"&gt;0")&gt;0,"Yes","No"))</f>
        <v/>
      </c>
      <c r="Y21" s="4">
        <f>IF($A21="","No",IF(COUNTIFS('3. Monthly'!$A$4:$A$203,$A21,'3. Monthly'!$C$4:$C$203,$B21,'3. Monthly'!$O$4:$O$203,"&gt;0")&gt;0,"Yes","No"))</f>
        <v/>
      </c>
      <c r="Z21" s="4">
        <f>IF($A21="","No",IF(COUNTIFS('3. Monthly'!$A$4:$A$203,$A21,'3. Monthly'!$C$4:$C$203,$B21,'3. Monthly'!$Q$4:$Q$203,"&gt;=0",'3. Monthly'!$G$4:$G$203,"&gt;0")&gt;0,"Yes","No"))</f>
        <v/>
      </c>
      <c r="AA21" s="4">
        <f>IF($A21="","No",IF(COUNTIFS('3. Monthly'!$A$4:$A$203,$A21,'3. Monthly'!$C$4:$C$203,$B21,'3. Monthly'!$H$4:$H$203,"&gt;0")&gt;0,"Yes","No"))</f>
        <v/>
      </c>
      <c r="AB21" s="4">
        <f>IF($A21="","No",IF(COUNTIFS('3. Monthly'!$A$4:$A$203,$A21,'3. Monthly'!$C$4:$C$203,$B21,'3. Monthly'!$U$4:$U$203,"&gt;=0",'3. Monthly'!$V$4:$V$203,"&gt;=0",'3. Monthly'!$H$4:$H$203,"&gt;0")&gt;0,"Yes","No"))</f>
        <v/>
      </c>
    </row>
    <row r="22">
      <c r="A22" s="4">
        <f>'4. Quarterly'!A22</f>
        <v/>
      </c>
      <c r="B22" s="4">
        <f>'4. Quarterly'!B22</f>
        <v/>
      </c>
      <c r="C22" s="4">
        <f>IFERROR(VLOOKUP($A22,'2. Projects'!$A$3:$B$20,2,0),"")</f>
        <v/>
      </c>
      <c r="D22" s="21">
        <f>IF($A22="","",IFERROR(AVERAGEIFS('5. Metrics'!$D$4:$D$203,'5. Metrics'!$A$4:$A$203,$A22,'5. Metrics'!$C$4:$C$203,$B22),""))</f>
        <v/>
      </c>
      <c r="E22" s="21">
        <f>IF($A22="","",IFERROR(AVERAGEIFS('5. Metrics'!$E$4:$E$203,'5. Metrics'!$A$4:$A$203,$A22,'5. Metrics'!$C$4:$C$203,$B22),""))</f>
        <v/>
      </c>
      <c r="F22" s="21">
        <f>IF($A22="","",IFERROR(AVERAGEIFS('5. Metrics'!$F$4:$F$203,'5. Metrics'!$A$4:$A$203,$A22,'5. Metrics'!$C$4:$C$203,$B22),""))</f>
        <v/>
      </c>
      <c r="G22" s="21">
        <f>IF($A22="","",IFERROR(AVERAGEIFS('5. Metrics'!$I$4:$I$203,'5. Metrics'!$A$4:$A$203,$A22,'5. Metrics'!$C$4:$C$203,$B22),""))</f>
        <v/>
      </c>
      <c r="H22" s="21">
        <f>IF($A22="","",IFERROR(AVERAGEIFS('5. Metrics'!$L$4:$L$203,'5. Metrics'!$A$4:$A$203,$A22,'5. Metrics'!$C$4:$C$203,$B22),""))</f>
        <v/>
      </c>
      <c r="I22" s="21">
        <f>IF($A22="","",IFERROR(AVERAGEIFS('5. Metrics'!$M$4:$M$203,'5. Metrics'!$A$4:$A$203,$A22,'5. Metrics'!$C$4:$C$203,$B22),""))</f>
        <v/>
      </c>
      <c r="J22" s="21">
        <f>IF($A22="","",IFERROR(AVERAGEIFS('5. Metrics'!$N$4:$N$203,'5. Metrics'!$A$4:$A$203,$A22,'5. Metrics'!$C$4:$C$203,$B22),""))</f>
        <v/>
      </c>
      <c r="K22" s="21">
        <f>IF($A22="","",IFERROR(AVERAGEIFS('5. Metrics'!$P$4:$P$203,'5. Metrics'!$A$4:$A$203,$A22,'5. Metrics'!$C$4:$C$203,$B22),""))</f>
        <v/>
      </c>
      <c r="L22" s="21">
        <f>IF($A22="","",IFERROR(AVERAGEIFS('5. Metrics'!$Q$4:$Q$203,'5. Metrics'!$A$4:$A$203,$A22,'5. Metrics'!$C$4:$C$203,$B22),""))</f>
        <v/>
      </c>
      <c r="M22" s="21">
        <f>IF($A22="","",IFERROR(AVERAGEIFS('5. Metrics'!$R$4:$R$203,'5. Metrics'!$A$4:$A$203,$A22,'5. Metrics'!$C$4:$C$203,$B22),""))</f>
        <v/>
      </c>
      <c r="N22" s="24">
        <f>IF($A22="","",IF('4. Quarterly'!L22="Yes",5,IF(AND(ISNUMBER(E22),E22&gt;'10. Thresholds'!$B$4,V22="Yes"),4,IF(AND('4. Quarterly'!K22="Yes",ISNUMBER(E22),E22&gt;='10. Thresholds'!$B$3),3,IF(AND(U22="Yes",ISNUMBER(D22),D22&gt;='10. Thresholds'!$B$5),2,1)))))</f>
        <v/>
      </c>
      <c r="O22" s="24">
        <f>IF($A22="","",IF(AND('4. Quarterly'!P22="Yes",'4. Quarterly'!Q22="Yes",'4. Quarterly'!M22="Yes",'4. Quarterly'!N22="Yes",'4. Quarterly'!O22="Yes",X22="Yes",Y22="Yes"),5,IF(AND('4. Quarterly'!M22="Yes",'4. Quarterly'!N22="Yes",'4. Quarterly'!O22="Yes",X22="Yes",Y22="Yes"),4,IF(AND(X22="Yes",Y22="Yes"),3,IF(W22="Yes",2,1)))))</f>
        <v/>
      </c>
      <c r="P22" s="24">
        <f>IF($A22="","",IF(AND('4. Quarterly'!V22="Yes",'4. Quarterly'!W22="Yes",'4. Quarterly'!X22="Yes",'4. Quarterly'!S22="Yes",'4. Quarterly'!T22="Yes",'4. Quarterly'!U22="Yes",'4. Quarterly'!E22="Yes",Z22="Yes",'4. Quarterly'!R22="Yes"),5,IF(AND('4. Quarterly'!S22="Yes",'4. Quarterly'!T22="Yes",'4. Quarterly'!U22="Yes",'4. Quarterly'!E22="Yes",Z22="Yes",'4. Quarterly'!R22="Yes"),4,IF(AND('4. Quarterly'!E22="Yes",Z22="Yes",'4. Quarterly'!R22="Yes"),3,IF(OR(Z22="Yes",'4. Quarterly'!R22="Yes",'4. Quarterly'!E22="Yes"),2,1)))))</f>
        <v/>
      </c>
      <c r="Q22" s="24">
        <f>IF($A22="","",IF(AA22&lt;&gt;"Yes",1,IF(AB22&lt;&gt;"Yes",2,IF(AND('4. Quarterly'!AA22="Yes",'4. Quarterly'!Y22="Yes",'4. Quarterly'!Z22="Yes",ISNUMBER(M22),M22&gt;='10. Thresholds'!$B$7,ISNUMBER(L22),L22&lt;='10. Thresholds'!$B$8),5,IF(AND('4. Quarterly'!Y22="Yes",'4. Quarterly'!Z22="Yes",ISNUMBER(M22),M22&gt;='10. Thresholds'!$B$6),4,3)))))</f>
        <v/>
      </c>
      <c r="R22" s="24">
        <f>IF($A22="","",IF(AND('4. Quarterly'!C22="Yes",'4. Quarterly'!D22="Yes",'4. Quarterly'!E22="Yes",'4. Quarterly'!F22="Yes",'4. Quarterly'!G22="Yes",'4. Quarterly'!H22="Yes",'4. Quarterly'!I22="Yes",'4. Quarterly'!J22="Yes"),5,IF(AND('4. Quarterly'!C22="Yes",'4. Quarterly'!D22="Yes",'4. Quarterly'!E22="Yes",'4. Quarterly'!F22="Yes",'4. Quarterly'!G22="Yes"),4,IF(AND('4. Quarterly'!C22="Yes",'4. Quarterly'!D22="Yes",'4. Quarterly'!E22="Yes"),3,IF(COUNTIF('4. Quarterly'!C22:J22,"Yes")&gt;=2,2,1)))))</f>
        <v/>
      </c>
      <c r="S22" s="24">
        <f>IF($A22="","",MIN(R22,P22,ROUND(AVERAGE(N22,O22,P22,Q22,R22),0)))</f>
        <v/>
      </c>
      <c r="T22" s="4">
        <f>IF($A22="","",$A22&amp;"|"&amp;$B22)</f>
        <v/>
      </c>
      <c r="U22" s="4">
        <f>IF($A22="","No",IF(COUNTIFS('3. Monthly'!$A$4:$A$203,$A22,'3. Monthly'!$C$4:$C$203,$B22,'3. Monthly'!$E$4:$E$203,"&gt;0")&gt;0,"Yes","No"))</f>
        <v/>
      </c>
      <c r="V22" s="4">
        <f>IF($A22="","No",IF(COUNTIFS('3. Monthly'!$A$4:$A$203,$A22,'3. Monthly'!$C$4:$C$203,$B22,'3. Monthly'!$I$4:$I$203,"&gt;0")&gt;0,"Yes","No"))</f>
        <v/>
      </c>
      <c r="W22" s="4">
        <f>IF($A22="","No",IF(COUNTIFS('3. Monthly'!$A$4:$A$203,$A22,'3. Monthly'!$C$4:$C$203,$B22,'3. Monthly'!$K$4:$K$203,"&gt;=0",'3. Monthly'!$L$4:$L$203,"&gt;0")&gt;0,"Yes","No"))</f>
        <v/>
      </c>
      <c r="X22" s="4">
        <f>IF($A22="","No",IF(COUNTIFS('3. Monthly'!$A$4:$A$203,$A22,'3. Monthly'!$C$4:$C$203,$B22,'3. Monthly'!$J$4:$J$203,"&gt;=0",'3. Monthly'!$K$4:$K$203,"&gt;=0",'3. Monthly'!$M$4:$M$203,"&gt;=0",'3. Monthly'!$N$4:$N$203,"&gt;=0",'3. Monthly'!$L$4:$L$203,"&gt;0")&gt;0,"Yes","No"))</f>
        <v/>
      </c>
      <c r="Y22" s="4">
        <f>IF($A22="","No",IF(COUNTIFS('3. Monthly'!$A$4:$A$203,$A22,'3. Monthly'!$C$4:$C$203,$B22,'3. Monthly'!$O$4:$O$203,"&gt;0")&gt;0,"Yes","No"))</f>
        <v/>
      </c>
      <c r="Z22" s="4">
        <f>IF($A22="","No",IF(COUNTIFS('3. Monthly'!$A$4:$A$203,$A22,'3. Monthly'!$C$4:$C$203,$B22,'3. Monthly'!$Q$4:$Q$203,"&gt;=0",'3. Monthly'!$G$4:$G$203,"&gt;0")&gt;0,"Yes","No"))</f>
        <v/>
      </c>
      <c r="AA22" s="4">
        <f>IF($A22="","No",IF(COUNTIFS('3. Monthly'!$A$4:$A$203,$A22,'3. Monthly'!$C$4:$C$203,$B22,'3. Monthly'!$H$4:$H$203,"&gt;0")&gt;0,"Yes","No"))</f>
        <v/>
      </c>
      <c r="AB22" s="4">
        <f>IF($A22="","No",IF(COUNTIFS('3. Monthly'!$A$4:$A$203,$A22,'3. Monthly'!$C$4:$C$203,$B22,'3. Monthly'!$U$4:$U$203,"&gt;=0",'3. Monthly'!$V$4:$V$203,"&gt;=0",'3. Monthly'!$H$4:$H$203,"&gt;0")&gt;0,"Yes","No"))</f>
        <v/>
      </c>
    </row>
    <row r="23">
      <c r="A23" s="4">
        <f>'4. Quarterly'!A23</f>
        <v/>
      </c>
      <c r="B23" s="4">
        <f>'4. Quarterly'!B23</f>
        <v/>
      </c>
      <c r="C23" s="4">
        <f>IFERROR(VLOOKUP($A23,'2. Projects'!$A$3:$B$20,2,0),"")</f>
        <v/>
      </c>
      <c r="D23" s="21">
        <f>IF($A23="","",IFERROR(AVERAGEIFS('5. Metrics'!$D$4:$D$203,'5. Metrics'!$A$4:$A$203,$A23,'5. Metrics'!$C$4:$C$203,$B23),""))</f>
        <v/>
      </c>
      <c r="E23" s="21">
        <f>IF($A23="","",IFERROR(AVERAGEIFS('5. Metrics'!$E$4:$E$203,'5. Metrics'!$A$4:$A$203,$A23,'5. Metrics'!$C$4:$C$203,$B23),""))</f>
        <v/>
      </c>
      <c r="F23" s="21">
        <f>IF($A23="","",IFERROR(AVERAGEIFS('5. Metrics'!$F$4:$F$203,'5. Metrics'!$A$4:$A$203,$A23,'5. Metrics'!$C$4:$C$203,$B23),""))</f>
        <v/>
      </c>
      <c r="G23" s="21">
        <f>IF($A23="","",IFERROR(AVERAGEIFS('5. Metrics'!$I$4:$I$203,'5. Metrics'!$A$4:$A$203,$A23,'5. Metrics'!$C$4:$C$203,$B23),""))</f>
        <v/>
      </c>
      <c r="H23" s="21">
        <f>IF($A23="","",IFERROR(AVERAGEIFS('5. Metrics'!$L$4:$L$203,'5. Metrics'!$A$4:$A$203,$A23,'5. Metrics'!$C$4:$C$203,$B23),""))</f>
        <v/>
      </c>
      <c r="I23" s="21">
        <f>IF($A23="","",IFERROR(AVERAGEIFS('5. Metrics'!$M$4:$M$203,'5. Metrics'!$A$4:$A$203,$A23,'5. Metrics'!$C$4:$C$203,$B23),""))</f>
        <v/>
      </c>
      <c r="J23" s="21">
        <f>IF($A23="","",IFERROR(AVERAGEIFS('5. Metrics'!$N$4:$N$203,'5. Metrics'!$A$4:$A$203,$A23,'5. Metrics'!$C$4:$C$203,$B23),""))</f>
        <v/>
      </c>
      <c r="K23" s="21">
        <f>IF($A23="","",IFERROR(AVERAGEIFS('5. Metrics'!$P$4:$P$203,'5. Metrics'!$A$4:$A$203,$A23,'5. Metrics'!$C$4:$C$203,$B23),""))</f>
        <v/>
      </c>
      <c r="L23" s="21">
        <f>IF($A23="","",IFERROR(AVERAGEIFS('5. Metrics'!$Q$4:$Q$203,'5. Metrics'!$A$4:$A$203,$A23,'5. Metrics'!$C$4:$C$203,$B23),""))</f>
        <v/>
      </c>
      <c r="M23" s="21">
        <f>IF($A23="","",IFERROR(AVERAGEIFS('5. Metrics'!$R$4:$R$203,'5. Metrics'!$A$4:$A$203,$A23,'5. Metrics'!$C$4:$C$203,$B23),""))</f>
        <v/>
      </c>
      <c r="N23" s="24">
        <f>IF($A23="","",IF('4. Quarterly'!L23="Yes",5,IF(AND(ISNUMBER(E23),E23&gt;'10. Thresholds'!$B$4,V23="Yes"),4,IF(AND('4. Quarterly'!K23="Yes",ISNUMBER(E23),E23&gt;='10. Thresholds'!$B$3),3,IF(AND(U23="Yes",ISNUMBER(D23),D23&gt;='10. Thresholds'!$B$5),2,1)))))</f>
        <v/>
      </c>
      <c r="O23" s="24">
        <f>IF($A23="","",IF(AND('4. Quarterly'!P23="Yes",'4. Quarterly'!Q23="Yes",'4. Quarterly'!M23="Yes",'4. Quarterly'!N23="Yes",'4. Quarterly'!O23="Yes",X23="Yes",Y23="Yes"),5,IF(AND('4. Quarterly'!M23="Yes",'4. Quarterly'!N23="Yes",'4. Quarterly'!O23="Yes",X23="Yes",Y23="Yes"),4,IF(AND(X23="Yes",Y23="Yes"),3,IF(W23="Yes",2,1)))))</f>
        <v/>
      </c>
      <c r="P23" s="24">
        <f>IF($A23="","",IF(AND('4. Quarterly'!V23="Yes",'4. Quarterly'!W23="Yes",'4. Quarterly'!X23="Yes",'4. Quarterly'!S23="Yes",'4. Quarterly'!T23="Yes",'4. Quarterly'!U23="Yes",'4. Quarterly'!E23="Yes",Z23="Yes",'4. Quarterly'!R23="Yes"),5,IF(AND('4. Quarterly'!S23="Yes",'4. Quarterly'!T23="Yes",'4. Quarterly'!U23="Yes",'4. Quarterly'!E23="Yes",Z23="Yes",'4. Quarterly'!R23="Yes"),4,IF(AND('4. Quarterly'!E23="Yes",Z23="Yes",'4. Quarterly'!R23="Yes"),3,IF(OR(Z23="Yes",'4. Quarterly'!R23="Yes",'4. Quarterly'!E23="Yes"),2,1)))))</f>
        <v/>
      </c>
      <c r="Q23" s="24">
        <f>IF($A23="","",IF(AA23&lt;&gt;"Yes",1,IF(AB23&lt;&gt;"Yes",2,IF(AND('4. Quarterly'!AA23="Yes",'4. Quarterly'!Y23="Yes",'4. Quarterly'!Z23="Yes",ISNUMBER(M23),M23&gt;='10. Thresholds'!$B$7,ISNUMBER(L23),L23&lt;='10. Thresholds'!$B$8),5,IF(AND('4. Quarterly'!Y23="Yes",'4. Quarterly'!Z23="Yes",ISNUMBER(M23),M23&gt;='10. Thresholds'!$B$6),4,3)))))</f>
        <v/>
      </c>
      <c r="R23" s="24">
        <f>IF($A23="","",IF(AND('4. Quarterly'!C23="Yes",'4. Quarterly'!D23="Yes",'4. Quarterly'!E23="Yes",'4. Quarterly'!F23="Yes",'4. Quarterly'!G23="Yes",'4. Quarterly'!H23="Yes",'4. Quarterly'!I23="Yes",'4. Quarterly'!J23="Yes"),5,IF(AND('4. Quarterly'!C23="Yes",'4. Quarterly'!D23="Yes",'4. Quarterly'!E23="Yes",'4. Quarterly'!F23="Yes",'4. Quarterly'!G23="Yes"),4,IF(AND('4. Quarterly'!C23="Yes",'4. Quarterly'!D23="Yes",'4. Quarterly'!E23="Yes"),3,IF(COUNTIF('4. Quarterly'!C23:J23,"Yes")&gt;=2,2,1)))))</f>
        <v/>
      </c>
      <c r="S23" s="24">
        <f>IF($A23="","",MIN(R23,P23,ROUND(AVERAGE(N23,O23,P23,Q23,R23),0)))</f>
        <v/>
      </c>
      <c r="T23" s="4">
        <f>IF($A23="","",$A23&amp;"|"&amp;$B23)</f>
        <v/>
      </c>
      <c r="U23" s="4">
        <f>IF($A23="","No",IF(COUNTIFS('3. Monthly'!$A$4:$A$203,$A23,'3. Monthly'!$C$4:$C$203,$B23,'3. Monthly'!$E$4:$E$203,"&gt;0")&gt;0,"Yes","No"))</f>
        <v/>
      </c>
      <c r="V23" s="4">
        <f>IF($A23="","No",IF(COUNTIFS('3. Monthly'!$A$4:$A$203,$A23,'3. Monthly'!$C$4:$C$203,$B23,'3. Monthly'!$I$4:$I$203,"&gt;0")&gt;0,"Yes","No"))</f>
        <v/>
      </c>
      <c r="W23" s="4">
        <f>IF($A23="","No",IF(COUNTIFS('3. Monthly'!$A$4:$A$203,$A23,'3. Monthly'!$C$4:$C$203,$B23,'3. Monthly'!$K$4:$K$203,"&gt;=0",'3. Monthly'!$L$4:$L$203,"&gt;0")&gt;0,"Yes","No"))</f>
        <v/>
      </c>
      <c r="X23" s="4">
        <f>IF($A23="","No",IF(COUNTIFS('3. Monthly'!$A$4:$A$203,$A23,'3. Monthly'!$C$4:$C$203,$B23,'3. Monthly'!$J$4:$J$203,"&gt;=0",'3. Monthly'!$K$4:$K$203,"&gt;=0",'3. Monthly'!$M$4:$M$203,"&gt;=0",'3. Monthly'!$N$4:$N$203,"&gt;=0",'3. Monthly'!$L$4:$L$203,"&gt;0")&gt;0,"Yes","No"))</f>
        <v/>
      </c>
      <c r="Y23" s="4">
        <f>IF($A23="","No",IF(COUNTIFS('3. Monthly'!$A$4:$A$203,$A23,'3. Monthly'!$C$4:$C$203,$B23,'3. Monthly'!$O$4:$O$203,"&gt;0")&gt;0,"Yes","No"))</f>
        <v/>
      </c>
      <c r="Z23" s="4">
        <f>IF($A23="","No",IF(COUNTIFS('3. Monthly'!$A$4:$A$203,$A23,'3. Monthly'!$C$4:$C$203,$B23,'3. Monthly'!$Q$4:$Q$203,"&gt;=0",'3. Monthly'!$G$4:$G$203,"&gt;0")&gt;0,"Yes","No"))</f>
        <v/>
      </c>
      <c r="AA23" s="4">
        <f>IF($A23="","No",IF(COUNTIFS('3. Monthly'!$A$4:$A$203,$A23,'3. Monthly'!$C$4:$C$203,$B23,'3. Monthly'!$H$4:$H$203,"&gt;0")&gt;0,"Yes","No"))</f>
        <v/>
      </c>
      <c r="AB23" s="4">
        <f>IF($A23="","No",IF(COUNTIFS('3. Monthly'!$A$4:$A$203,$A23,'3. Monthly'!$C$4:$C$203,$B23,'3. Monthly'!$U$4:$U$203,"&gt;=0",'3. Monthly'!$V$4:$V$203,"&gt;=0",'3. Monthly'!$H$4:$H$203,"&gt;0")&gt;0,"Yes","No"))</f>
        <v/>
      </c>
    </row>
    <row r="24">
      <c r="A24" s="4">
        <f>'4. Quarterly'!A24</f>
        <v/>
      </c>
      <c r="B24" s="4">
        <f>'4. Quarterly'!B24</f>
        <v/>
      </c>
      <c r="C24" s="4">
        <f>IFERROR(VLOOKUP($A24,'2. Projects'!$A$3:$B$20,2,0),"")</f>
        <v/>
      </c>
      <c r="D24" s="21">
        <f>IF($A24="","",IFERROR(AVERAGEIFS('5. Metrics'!$D$4:$D$203,'5. Metrics'!$A$4:$A$203,$A24,'5. Metrics'!$C$4:$C$203,$B24),""))</f>
        <v/>
      </c>
      <c r="E24" s="21">
        <f>IF($A24="","",IFERROR(AVERAGEIFS('5. Metrics'!$E$4:$E$203,'5. Metrics'!$A$4:$A$203,$A24,'5. Metrics'!$C$4:$C$203,$B24),""))</f>
        <v/>
      </c>
      <c r="F24" s="21">
        <f>IF($A24="","",IFERROR(AVERAGEIFS('5. Metrics'!$F$4:$F$203,'5. Metrics'!$A$4:$A$203,$A24,'5. Metrics'!$C$4:$C$203,$B24),""))</f>
        <v/>
      </c>
      <c r="G24" s="21">
        <f>IF($A24="","",IFERROR(AVERAGEIFS('5. Metrics'!$I$4:$I$203,'5. Metrics'!$A$4:$A$203,$A24,'5. Metrics'!$C$4:$C$203,$B24),""))</f>
        <v/>
      </c>
      <c r="H24" s="21">
        <f>IF($A24="","",IFERROR(AVERAGEIFS('5. Metrics'!$L$4:$L$203,'5. Metrics'!$A$4:$A$203,$A24,'5. Metrics'!$C$4:$C$203,$B24),""))</f>
        <v/>
      </c>
      <c r="I24" s="21">
        <f>IF($A24="","",IFERROR(AVERAGEIFS('5. Metrics'!$M$4:$M$203,'5. Metrics'!$A$4:$A$203,$A24,'5. Metrics'!$C$4:$C$203,$B24),""))</f>
        <v/>
      </c>
      <c r="J24" s="21">
        <f>IF($A24="","",IFERROR(AVERAGEIFS('5. Metrics'!$N$4:$N$203,'5. Metrics'!$A$4:$A$203,$A24,'5. Metrics'!$C$4:$C$203,$B24),""))</f>
        <v/>
      </c>
      <c r="K24" s="21">
        <f>IF($A24="","",IFERROR(AVERAGEIFS('5. Metrics'!$P$4:$P$203,'5. Metrics'!$A$4:$A$203,$A24,'5. Metrics'!$C$4:$C$203,$B24),""))</f>
        <v/>
      </c>
      <c r="L24" s="21">
        <f>IF($A24="","",IFERROR(AVERAGEIFS('5. Metrics'!$Q$4:$Q$203,'5. Metrics'!$A$4:$A$203,$A24,'5. Metrics'!$C$4:$C$203,$B24),""))</f>
        <v/>
      </c>
      <c r="M24" s="21">
        <f>IF($A24="","",IFERROR(AVERAGEIFS('5. Metrics'!$R$4:$R$203,'5. Metrics'!$A$4:$A$203,$A24,'5. Metrics'!$C$4:$C$203,$B24),""))</f>
        <v/>
      </c>
      <c r="N24" s="24">
        <f>IF($A24="","",IF('4. Quarterly'!L24="Yes",5,IF(AND(ISNUMBER(E24),E24&gt;'10. Thresholds'!$B$4,V24="Yes"),4,IF(AND('4. Quarterly'!K24="Yes",ISNUMBER(E24),E24&gt;='10. Thresholds'!$B$3),3,IF(AND(U24="Yes",ISNUMBER(D24),D24&gt;='10. Thresholds'!$B$5),2,1)))))</f>
        <v/>
      </c>
      <c r="O24" s="24">
        <f>IF($A24="","",IF(AND('4. Quarterly'!P24="Yes",'4. Quarterly'!Q24="Yes",'4. Quarterly'!M24="Yes",'4. Quarterly'!N24="Yes",'4. Quarterly'!O24="Yes",X24="Yes",Y24="Yes"),5,IF(AND('4. Quarterly'!M24="Yes",'4. Quarterly'!N24="Yes",'4. Quarterly'!O24="Yes",X24="Yes",Y24="Yes"),4,IF(AND(X24="Yes",Y24="Yes"),3,IF(W24="Yes",2,1)))))</f>
        <v/>
      </c>
      <c r="P24" s="24">
        <f>IF($A24="","",IF(AND('4. Quarterly'!V24="Yes",'4. Quarterly'!W24="Yes",'4. Quarterly'!X24="Yes",'4. Quarterly'!S24="Yes",'4. Quarterly'!T24="Yes",'4. Quarterly'!U24="Yes",'4. Quarterly'!E24="Yes",Z24="Yes",'4. Quarterly'!R24="Yes"),5,IF(AND('4. Quarterly'!S24="Yes",'4. Quarterly'!T24="Yes",'4. Quarterly'!U24="Yes",'4. Quarterly'!E24="Yes",Z24="Yes",'4. Quarterly'!R24="Yes"),4,IF(AND('4. Quarterly'!E24="Yes",Z24="Yes",'4. Quarterly'!R24="Yes"),3,IF(OR(Z24="Yes",'4. Quarterly'!R24="Yes",'4. Quarterly'!E24="Yes"),2,1)))))</f>
        <v/>
      </c>
      <c r="Q24" s="24">
        <f>IF($A24="","",IF(AA24&lt;&gt;"Yes",1,IF(AB24&lt;&gt;"Yes",2,IF(AND('4. Quarterly'!AA24="Yes",'4. Quarterly'!Y24="Yes",'4. Quarterly'!Z24="Yes",ISNUMBER(M24),M24&gt;='10. Thresholds'!$B$7,ISNUMBER(L24),L24&lt;='10. Thresholds'!$B$8),5,IF(AND('4. Quarterly'!Y24="Yes",'4. Quarterly'!Z24="Yes",ISNUMBER(M24),M24&gt;='10. Thresholds'!$B$6),4,3)))))</f>
        <v/>
      </c>
      <c r="R24" s="24">
        <f>IF($A24="","",IF(AND('4. Quarterly'!C24="Yes",'4. Quarterly'!D24="Yes",'4. Quarterly'!E24="Yes",'4. Quarterly'!F24="Yes",'4. Quarterly'!G24="Yes",'4. Quarterly'!H24="Yes",'4. Quarterly'!I24="Yes",'4. Quarterly'!J24="Yes"),5,IF(AND('4. Quarterly'!C24="Yes",'4. Quarterly'!D24="Yes",'4. Quarterly'!E24="Yes",'4. Quarterly'!F24="Yes",'4. Quarterly'!G24="Yes"),4,IF(AND('4. Quarterly'!C24="Yes",'4. Quarterly'!D24="Yes",'4. Quarterly'!E24="Yes"),3,IF(COUNTIF('4. Quarterly'!C24:J24,"Yes")&gt;=2,2,1)))))</f>
        <v/>
      </c>
      <c r="S24" s="24">
        <f>IF($A24="","",MIN(R24,P24,ROUND(AVERAGE(N24,O24,P24,Q24,R24),0)))</f>
        <v/>
      </c>
      <c r="T24" s="4">
        <f>IF($A24="","",$A24&amp;"|"&amp;$B24)</f>
        <v/>
      </c>
      <c r="U24" s="4">
        <f>IF($A24="","No",IF(COUNTIFS('3. Monthly'!$A$4:$A$203,$A24,'3. Monthly'!$C$4:$C$203,$B24,'3. Monthly'!$E$4:$E$203,"&gt;0")&gt;0,"Yes","No"))</f>
        <v/>
      </c>
      <c r="V24" s="4">
        <f>IF($A24="","No",IF(COUNTIFS('3. Monthly'!$A$4:$A$203,$A24,'3. Monthly'!$C$4:$C$203,$B24,'3. Monthly'!$I$4:$I$203,"&gt;0")&gt;0,"Yes","No"))</f>
        <v/>
      </c>
      <c r="W24" s="4">
        <f>IF($A24="","No",IF(COUNTIFS('3. Monthly'!$A$4:$A$203,$A24,'3. Monthly'!$C$4:$C$203,$B24,'3. Monthly'!$K$4:$K$203,"&gt;=0",'3. Monthly'!$L$4:$L$203,"&gt;0")&gt;0,"Yes","No"))</f>
        <v/>
      </c>
      <c r="X24" s="4">
        <f>IF($A24="","No",IF(COUNTIFS('3. Monthly'!$A$4:$A$203,$A24,'3. Monthly'!$C$4:$C$203,$B24,'3. Monthly'!$J$4:$J$203,"&gt;=0",'3. Monthly'!$K$4:$K$203,"&gt;=0",'3. Monthly'!$M$4:$M$203,"&gt;=0",'3. Monthly'!$N$4:$N$203,"&gt;=0",'3. Monthly'!$L$4:$L$203,"&gt;0")&gt;0,"Yes","No"))</f>
        <v/>
      </c>
      <c r="Y24" s="4">
        <f>IF($A24="","No",IF(COUNTIFS('3. Monthly'!$A$4:$A$203,$A24,'3. Monthly'!$C$4:$C$203,$B24,'3. Monthly'!$O$4:$O$203,"&gt;0")&gt;0,"Yes","No"))</f>
        <v/>
      </c>
      <c r="Z24" s="4">
        <f>IF($A24="","No",IF(COUNTIFS('3. Monthly'!$A$4:$A$203,$A24,'3. Monthly'!$C$4:$C$203,$B24,'3. Monthly'!$Q$4:$Q$203,"&gt;=0",'3. Monthly'!$G$4:$G$203,"&gt;0")&gt;0,"Yes","No"))</f>
        <v/>
      </c>
      <c r="AA24" s="4">
        <f>IF($A24="","No",IF(COUNTIFS('3. Monthly'!$A$4:$A$203,$A24,'3. Monthly'!$C$4:$C$203,$B24,'3. Monthly'!$H$4:$H$203,"&gt;0")&gt;0,"Yes","No"))</f>
        <v/>
      </c>
      <c r="AB24" s="4">
        <f>IF($A24="","No",IF(COUNTIFS('3. Monthly'!$A$4:$A$203,$A24,'3. Monthly'!$C$4:$C$203,$B24,'3. Monthly'!$U$4:$U$203,"&gt;=0",'3. Monthly'!$V$4:$V$203,"&gt;=0",'3. Monthly'!$H$4:$H$203,"&gt;0")&gt;0,"Yes","No"))</f>
        <v/>
      </c>
    </row>
    <row r="25">
      <c r="A25" s="4">
        <f>'4. Quarterly'!A25</f>
        <v/>
      </c>
      <c r="B25" s="4">
        <f>'4. Quarterly'!B25</f>
        <v/>
      </c>
      <c r="C25" s="4">
        <f>IFERROR(VLOOKUP($A25,'2. Projects'!$A$3:$B$20,2,0),"")</f>
        <v/>
      </c>
      <c r="D25" s="21">
        <f>IF($A25="","",IFERROR(AVERAGEIFS('5. Metrics'!$D$4:$D$203,'5. Metrics'!$A$4:$A$203,$A25,'5. Metrics'!$C$4:$C$203,$B25),""))</f>
        <v/>
      </c>
      <c r="E25" s="21">
        <f>IF($A25="","",IFERROR(AVERAGEIFS('5. Metrics'!$E$4:$E$203,'5. Metrics'!$A$4:$A$203,$A25,'5. Metrics'!$C$4:$C$203,$B25),""))</f>
        <v/>
      </c>
      <c r="F25" s="21">
        <f>IF($A25="","",IFERROR(AVERAGEIFS('5. Metrics'!$F$4:$F$203,'5. Metrics'!$A$4:$A$203,$A25,'5. Metrics'!$C$4:$C$203,$B25),""))</f>
        <v/>
      </c>
      <c r="G25" s="21">
        <f>IF($A25="","",IFERROR(AVERAGEIFS('5. Metrics'!$I$4:$I$203,'5. Metrics'!$A$4:$A$203,$A25,'5. Metrics'!$C$4:$C$203,$B25),""))</f>
        <v/>
      </c>
      <c r="H25" s="21">
        <f>IF($A25="","",IFERROR(AVERAGEIFS('5. Metrics'!$L$4:$L$203,'5. Metrics'!$A$4:$A$203,$A25,'5. Metrics'!$C$4:$C$203,$B25),""))</f>
        <v/>
      </c>
      <c r="I25" s="21">
        <f>IF($A25="","",IFERROR(AVERAGEIFS('5. Metrics'!$M$4:$M$203,'5. Metrics'!$A$4:$A$203,$A25,'5. Metrics'!$C$4:$C$203,$B25),""))</f>
        <v/>
      </c>
      <c r="J25" s="21">
        <f>IF($A25="","",IFERROR(AVERAGEIFS('5. Metrics'!$N$4:$N$203,'5. Metrics'!$A$4:$A$203,$A25,'5. Metrics'!$C$4:$C$203,$B25),""))</f>
        <v/>
      </c>
      <c r="K25" s="21">
        <f>IF($A25="","",IFERROR(AVERAGEIFS('5. Metrics'!$P$4:$P$203,'5. Metrics'!$A$4:$A$203,$A25,'5. Metrics'!$C$4:$C$203,$B25),""))</f>
        <v/>
      </c>
      <c r="L25" s="21">
        <f>IF($A25="","",IFERROR(AVERAGEIFS('5. Metrics'!$Q$4:$Q$203,'5. Metrics'!$A$4:$A$203,$A25,'5. Metrics'!$C$4:$C$203,$B25),""))</f>
        <v/>
      </c>
      <c r="M25" s="21">
        <f>IF($A25="","",IFERROR(AVERAGEIFS('5. Metrics'!$R$4:$R$203,'5. Metrics'!$A$4:$A$203,$A25,'5. Metrics'!$C$4:$C$203,$B25),""))</f>
        <v/>
      </c>
      <c r="N25" s="24">
        <f>IF($A25="","",IF('4. Quarterly'!L25="Yes",5,IF(AND(ISNUMBER(E25),E25&gt;'10. Thresholds'!$B$4,V25="Yes"),4,IF(AND('4. Quarterly'!K25="Yes",ISNUMBER(E25),E25&gt;='10. Thresholds'!$B$3),3,IF(AND(U25="Yes",ISNUMBER(D25),D25&gt;='10. Thresholds'!$B$5),2,1)))))</f>
        <v/>
      </c>
      <c r="O25" s="24">
        <f>IF($A25="","",IF(AND('4. Quarterly'!P25="Yes",'4. Quarterly'!Q25="Yes",'4. Quarterly'!M25="Yes",'4. Quarterly'!N25="Yes",'4. Quarterly'!O25="Yes",X25="Yes",Y25="Yes"),5,IF(AND('4. Quarterly'!M25="Yes",'4. Quarterly'!N25="Yes",'4. Quarterly'!O25="Yes",X25="Yes",Y25="Yes"),4,IF(AND(X25="Yes",Y25="Yes"),3,IF(W25="Yes",2,1)))))</f>
        <v/>
      </c>
      <c r="P25" s="24">
        <f>IF($A25="","",IF(AND('4. Quarterly'!V25="Yes",'4. Quarterly'!W25="Yes",'4. Quarterly'!X25="Yes",'4. Quarterly'!S25="Yes",'4. Quarterly'!T25="Yes",'4. Quarterly'!U25="Yes",'4. Quarterly'!E25="Yes",Z25="Yes",'4. Quarterly'!R25="Yes"),5,IF(AND('4. Quarterly'!S25="Yes",'4. Quarterly'!T25="Yes",'4. Quarterly'!U25="Yes",'4. Quarterly'!E25="Yes",Z25="Yes",'4. Quarterly'!R25="Yes"),4,IF(AND('4. Quarterly'!E25="Yes",Z25="Yes",'4. Quarterly'!R25="Yes"),3,IF(OR(Z25="Yes",'4. Quarterly'!R25="Yes",'4. Quarterly'!E25="Yes"),2,1)))))</f>
        <v/>
      </c>
      <c r="Q25" s="24">
        <f>IF($A25="","",IF(AA25&lt;&gt;"Yes",1,IF(AB25&lt;&gt;"Yes",2,IF(AND('4. Quarterly'!AA25="Yes",'4. Quarterly'!Y25="Yes",'4. Quarterly'!Z25="Yes",ISNUMBER(M25),M25&gt;='10. Thresholds'!$B$7,ISNUMBER(L25),L25&lt;='10. Thresholds'!$B$8),5,IF(AND('4. Quarterly'!Y25="Yes",'4. Quarterly'!Z25="Yes",ISNUMBER(M25),M25&gt;='10. Thresholds'!$B$6),4,3)))))</f>
        <v/>
      </c>
      <c r="R25" s="24">
        <f>IF($A25="","",IF(AND('4. Quarterly'!C25="Yes",'4. Quarterly'!D25="Yes",'4. Quarterly'!E25="Yes",'4. Quarterly'!F25="Yes",'4. Quarterly'!G25="Yes",'4. Quarterly'!H25="Yes",'4. Quarterly'!I25="Yes",'4. Quarterly'!J25="Yes"),5,IF(AND('4. Quarterly'!C25="Yes",'4. Quarterly'!D25="Yes",'4. Quarterly'!E25="Yes",'4. Quarterly'!F25="Yes",'4. Quarterly'!G25="Yes"),4,IF(AND('4. Quarterly'!C25="Yes",'4. Quarterly'!D25="Yes",'4. Quarterly'!E25="Yes"),3,IF(COUNTIF('4. Quarterly'!C25:J25,"Yes")&gt;=2,2,1)))))</f>
        <v/>
      </c>
      <c r="S25" s="24">
        <f>IF($A25="","",MIN(R25,P25,ROUND(AVERAGE(N25,O25,P25,Q25,R25),0)))</f>
        <v/>
      </c>
      <c r="T25" s="4">
        <f>IF($A25="","",$A25&amp;"|"&amp;$B25)</f>
        <v/>
      </c>
      <c r="U25" s="4">
        <f>IF($A25="","No",IF(COUNTIFS('3. Monthly'!$A$4:$A$203,$A25,'3. Monthly'!$C$4:$C$203,$B25,'3. Monthly'!$E$4:$E$203,"&gt;0")&gt;0,"Yes","No"))</f>
        <v/>
      </c>
      <c r="V25" s="4">
        <f>IF($A25="","No",IF(COUNTIFS('3. Monthly'!$A$4:$A$203,$A25,'3. Monthly'!$C$4:$C$203,$B25,'3. Monthly'!$I$4:$I$203,"&gt;0")&gt;0,"Yes","No"))</f>
        <v/>
      </c>
      <c r="W25" s="4">
        <f>IF($A25="","No",IF(COUNTIFS('3. Monthly'!$A$4:$A$203,$A25,'3. Monthly'!$C$4:$C$203,$B25,'3. Monthly'!$K$4:$K$203,"&gt;=0",'3. Monthly'!$L$4:$L$203,"&gt;0")&gt;0,"Yes","No"))</f>
        <v/>
      </c>
      <c r="X25" s="4">
        <f>IF($A25="","No",IF(COUNTIFS('3. Monthly'!$A$4:$A$203,$A25,'3. Monthly'!$C$4:$C$203,$B25,'3. Monthly'!$J$4:$J$203,"&gt;=0",'3. Monthly'!$K$4:$K$203,"&gt;=0",'3. Monthly'!$M$4:$M$203,"&gt;=0",'3. Monthly'!$N$4:$N$203,"&gt;=0",'3. Monthly'!$L$4:$L$203,"&gt;0")&gt;0,"Yes","No"))</f>
        <v/>
      </c>
      <c r="Y25" s="4">
        <f>IF($A25="","No",IF(COUNTIFS('3. Monthly'!$A$4:$A$203,$A25,'3. Monthly'!$C$4:$C$203,$B25,'3. Monthly'!$O$4:$O$203,"&gt;0")&gt;0,"Yes","No"))</f>
        <v/>
      </c>
      <c r="Z25" s="4">
        <f>IF($A25="","No",IF(COUNTIFS('3. Monthly'!$A$4:$A$203,$A25,'3. Monthly'!$C$4:$C$203,$B25,'3. Monthly'!$Q$4:$Q$203,"&gt;=0",'3. Monthly'!$G$4:$G$203,"&gt;0")&gt;0,"Yes","No"))</f>
        <v/>
      </c>
      <c r="AA25" s="4">
        <f>IF($A25="","No",IF(COUNTIFS('3. Monthly'!$A$4:$A$203,$A25,'3. Monthly'!$C$4:$C$203,$B25,'3. Monthly'!$H$4:$H$203,"&gt;0")&gt;0,"Yes","No"))</f>
        <v/>
      </c>
      <c r="AB25" s="4">
        <f>IF($A25="","No",IF(COUNTIFS('3. Monthly'!$A$4:$A$203,$A25,'3. Monthly'!$C$4:$C$203,$B25,'3. Monthly'!$U$4:$U$203,"&gt;=0",'3. Monthly'!$V$4:$V$203,"&gt;=0",'3. Monthly'!$H$4:$H$203,"&gt;0")&gt;0,"Yes","No"))</f>
        <v/>
      </c>
    </row>
    <row r="26">
      <c r="A26" s="4">
        <f>'4. Quarterly'!A26</f>
        <v/>
      </c>
      <c r="B26" s="4">
        <f>'4. Quarterly'!B26</f>
        <v/>
      </c>
      <c r="C26" s="4">
        <f>IFERROR(VLOOKUP($A26,'2. Projects'!$A$3:$B$20,2,0),"")</f>
        <v/>
      </c>
      <c r="D26" s="21">
        <f>IF($A26="","",IFERROR(AVERAGEIFS('5. Metrics'!$D$4:$D$203,'5. Metrics'!$A$4:$A$203,$A26,'5. Metrics'!$C$4:$C$203,$B26),""))</f>
        <v/>
      </c>
      <c r="E26" s="21">
        <f>IF($A26="","",IFERROR(AVERAGEIFS('5. Metrics'!$E$4:$E$203,'5. Metrics'!$A$4:$A$203,$A26,'5. Metrics'!$C$4:$C$203,$B26),""))</f>
        <v/>
      </c>
      <c r="F26" s="21">
        <f>IF($A26="","",IFERROR(AVERAGEIFS('5. Metrics'!$F$4:$F$203,'5. Metrics'!$A$4:$A$203,$A26,'5. Metrics'!$C$4:$C$203,$B26),""))</f>
        <v/>
      </c>
      <c r="G26" s="21">
        <f>IF($A26="","",IFERROR(AVERAGEIFS('5. Metrics'!$I$4:$I$203,'5. Metrics'!$A$4:$A$203,$A26,'5. Metrics'!$C$4:$C$203,$B26),""))</f>
        <v/>
      </c>
      <c r="H26" s="21">
        <f>IF($A26="","",IFERROR(AVERAGEIFS('5. Metrics'!$L$4:$L$203,'5. Metrics'!$A$4:$A$203,$A26,'5. Metrics'!$C$4:$C$203,$B26),""))</f>
        <v/>
      </c>
      <c r="I26" s="21">
        <f>IF($A26="","",IFERROR(AVERAGEIFS('5. Metrics'!$M$4:$M$203,'5. Metrics'!$A$4:$A$203,$A26,'5. Metrics'!$C$4:$C$203,$B26),""))</f>
        <v/>
      </c>
      <c r="J26" s="21">
        <f>IF($A26="","",IFERROR(AVERAGEIFS('5. Metrics'!$N$4:$N$203,'5. Metrics'!$A$4:$A$203,$A26,'5. Metrics'!$C$4:$C$203,$B26),""))</f>
        <v/>
      </c>
      <c r="K26" s="21">
        <f>IF($A26="","",IFERROR(AVERAGEIFS('5. Metrics'!$P$4:$P$203,'5. Metrics'!$A$4:$A$203,$A26,'5. Metrics'!$C$4:$C$203,$B26),""))</f>
        <v/>
      </c>
      <c r="L26" s="21">
        <f>IF($A26="","",IFERROR(AVERAGEIFS('5. Metrics'!$Q$4:$Q$203,'5. Metrics'!$A$4:$A$203,$A26,'5. Metrics'!$C$4:$C$203,$B26),""))</f>
        <v/>
      </c>
      <c r="M26" s="21">
        <f>IF($A26="","",IFERROR(AVERAGEIFS('5. Metrics'!$R$4:$R$203,'5. Metrics'!$A$4:$A$203,$A26,'5. Metrics'!$C$4:$C$203,$B26),""))</f>
        <v/>
      </c>
      <c r="N26" s="24">
        <f>IF($A26="","",IF('4. Quarterly'!L26="Yes",5,IF(AND(ISNUMBER(E26),E26&gt;'10. Thresholds'!$B$4,V26="Yes"),4,IF(AND('4. Quarterly'!K26="Yes",ISNUMBER(E26),E26&gt;='10. Thresholds'!$B$3),3,IF(AND(U26="Yes",ISNUMBER(D26),D26&gt;='10. Thresholds'!$B$5),2,1)))))</f>
        <v/>
      </c>
      <c r="O26" s="24">
        <f>IF($A26="","",IF(AND('4. Quarterly'!P26="Yes",'4. Quarterly'!Q26="Yes",'4. Quarterly'!M26="Yes",'4. Quarterly'!N26="Yes",'4. Quarterly'!O26="Yes",X26="Yes",Y26="Yes"),5,IF(AND('4. Quarterly'!M26="Yes",'4. Quarterly'!N26="Yes",'4. Quarterly'!O26="Yes",X26="Yes",Y26="Yes"),4,IF(AND(X26="Yes",Y26="Yes"),3,IF(W26="Yes",2,1)))))</f>
        <v/>
      </c>
      <c r="P26" s="24">
        <f>IF($A26="","",IF(AND('4. Quarterly'!V26="Yes",'4. Quarterly'!W26="Yes",'4. Quarterly'!X26="Yes",'4. Quarterly'!S26="Yes",'4. Quarterly'!T26="Yes",'4. Quarterly'!U26="Yes",'4. Quarterly'!E26="Yes",Z26="Yes",'4. Quarterly'!R26="Yes"),5,IF(AND('4. Quarterly'!S26="Yes",'4. Quarterly'!T26="Yes",'4. Quarterly'!U26="Yes",'4. Quarterly'!E26="Yes",Z26="Yes",'4. Quarterly'!R26="Yes"),4,IF(AND('4. Quarterly'!E26="Yes",Z26="Yes",'4. Quarterly'!R26="Yes"),3,IF(OR(Z26="Yes",'4. Quarterly'!R26="Yes",'4. Quarterly'!E26="Yes"),2,1)))))</f>
        <v/>
      </c>
      <c r="Q26" s="24">
        <f>IF($A26="","",IF(AA26&lt;&gt;"Yes",1,IF(AB26&lt;&gt;"Yes",2,IF(AND('4. Quarterly'!AA26="Yes",'4. Quarterly'!Y26="Yes",'4. Quarterly'!Z26="Yes",ISNUMBER(M26),M26&gt;='10. Thresholds'!$B$7,ISNUMBER(L26),L26&lt;='10. Thresholds'!$B$8),5,IF(AND('4. Quarterly'!Y26="Yes",'4. Quarterly'!Z26="Yes",ISNUMBER(M26),M26&gt;='10. Thresholds'!$B$6),4,3)))))</f>
        <v/>
      </c>
      <c r="R26" s="24">
        <f>IF($A26="","",IF(AND('4. Quarterly'!C26="Yes",'4. Quarterly'!D26="Yes",'4. Quarterly'!E26="Yes",'4. Quarterly'!F26="Yes",'4. Quarterly'!G26="Yes",'4. Quarterly'!H26="Yes",'4. Quarterly'!I26="Yes",'4. Quarterly'!J26="Yes"),5,IF(AND('4. Quarterly'!C26="Yes",'4. Quarterly'!D26="Yes",'4. Quarterly'!E26="Yes",'4. Quarterly'!F26="Yes",'4. Quarterly'!G26="Yes"),4,IF(AND('4. Quarterly'!C26="Yes",'4. Quarterly'!D26="Yes",'4. Quarterly'!E26="Yes"),3,IF(COUNTIF('4. Quarterly'!C26:J26,"Yes")&gt;=2,2,1)))))</f>
        <v/>
      </c>
      <c r="S26" s="24">
        <f>IF($A26="","",MIN(R26,P26,ROUND(AVERAGE(N26,O26,P26,Q26,R26),0)))</f>
        <v/>
      </c>
      <c r="T26" s="4">
        <f>IF($A26="","",$A26&amp;"|"&amp;$B26)</f>
        <v/>
      </c>
      <c r="U26" s="4">
        <f>IF($A26="","No",IF(COUNTIFS('3. Monthly'!$A$4:$A$203,$A26,'3. Monthly'!$C$4:$C$203,$B26,'3. Monthly'!$E$4:$E$203,"&gt;0")&gt;0,"Yes","No"))</f>
        <v/>
      </c>
      <c r="V26" s="4">
        <f>IF($A26="","No",IF(COUNTIFS('3. Monthly'!$A$4:$A$203,$A26,'3. Monthly'!$C$4:$C$203,$B26,'3. Monthly'!$I$4:$I$203,"&gt;0")&gt;0,"Yes","No"))</f>
        <v/>
      </c>
      <c r="W26" s="4">
        <f>IF($A26="","No",IF(COUNTIFS('3. Monthly'!$A$4:$A$203,$A26,'3. Monthly'!$C$4:$C$203,$B26,'3. Monthly'!$K$4:$K$203,"&gt;=0",'3. Monthly'!$L$4:$L$203,"&gt;0")&gt;0,"Yes","No"))</f>
        <v/>
      </c>
      <c r="X26" s="4">
        <f>IF($A26="","No",IF(COUNTIFS('3. Monthly'!$A$4:$A$203,$A26,'3. Monthly'!$C$4:$C$203,$B26,'3. Monthly'!$J$4:$J$203,"&gt;=0",'3. Monthly'!$K$4:$K$203,"&gt;=0",'3. Monthly'!$M$4:$M$203,"&gt;=0",'3. Monthly'!$N$4:$N$203,"&gt;=0",'3. Monthly'!$L$4:$L$203,"&gt;0")&gt;0,"Yes","No"))</f>
        <v/>
      </c>
      <c r="Y26" s="4">
        <f>IF($A26="","No",IF(COUNTIFS('3. Monthly'!$A$4:$A$203,$A26,'3. Monthly'!$C$4:$C$203,$B26,'3. Monthly'!$O$4:$O$203,"&gt;0")&gt;0,"Yes","No"))</f>
        <v/>
      </c>
      <c r="Z26" s="4">
        <f>IF($A26="","No",IF(COUNTIFS('3. Monthly'!$A$4:$A$203,$A26,'3. Monthly'!$C$4:$C$203,$B26,'3. Monthly'!$Q$4:$Q$203,"&gt;=0",'3. Monthly'!$G$4:$G$203,"&gt;0")&gt;0,"Yes","No"))</f>
        <v/>
      </c>
      <c r="AA26" s="4">
        <f>IF($A26="","No",IF(COUNTIFS('3. Monthly'!$A$4:$A$203,$A26,'3. Monthly'!$C$4:$C$203,$B26,'3. Monthly'!$H$4:$H$203,"&gt;0")&gt;0,"Yes","No"))</f>
        <v/>
      </c>
      <c r="AB26" s="4">
        <f>IF($A26="","No",IF(COUNTIFS('3. Monthly'!$A$4:$A$203,$A26,'3. Monthly'!$C$4:$C$203,$B26,'3. Monthly'!$U$4:$U$203,"&gt;=0",'3. Monthly'!$V$4:$V$203,"&gt;=0",'3. Monthly'!$H$4:$H$203,"&gt;0")&gt;0,"Yes","No"))</f>
        <v/>
      </c>
    </row>
    <row r="27">
      <c r="A27" s="4">
        <f>'4. Quarterly'!A27</f>
        <v/>
      </c>
      <c r="B27" s="4">
        <f>'4. Quarterly'!B27</f>
        <v/>
      </c>
      <c r="C27" s="4">
        <f>IFERROR(VLOOKUP($A27,'2. Projects'!$A$3:$B$20,2,0),"")</f>
        <v/>
      </c>
      <c r="D27" s="21">
        <f>IF($A27="","",IFERROR(AVERAGEIFS('5. Metrics'!$D$4:$D$203,'5. Metrics'!$A$4:$A$203,$A27,'5. Metrics'!$C$4:$C$203,$B27),""))</f>
        <v/>
      </c>
      <c r="E27" s="21">
        <f>IF($A27="","",IFERROR(AVERAGEIFS('5. Metrics'!$E$4:$E$203,'5. Metrics'!$A$4:$A$203,$A27,'5. Metrics'!$C$4:$C$203,$B27),""))</f>
        <v/>
      </c>
      <c r="F27" s="21">
        <f>IF($A27="","",IFERROR(AVERAGEIFS('5. Metrics'!$F$4:$F$203,'5. Metrics'!$A$4:$A$203,$A27,'5. Metrics'!$C$4:$C$203,$B27),""))</f>
        <v/>
      </c>
      <c r="G27" s="21">
        <f>IF($A27="","",IFERROR(AVERAGEIFS('5. Metrics'!$I$4:$I$203,'5. Metrics'!$A$4:$A$203,$A27,'5. Metrics'!$C$4:$C$203,$B27),""))</f>
        <v/>
      </c>
      <c r="H27" s="21">
        <f>IF($A27="","",IFERROR(AVERAGEIFS('5. Metrics'!$L$4:$L$203,'5. Metrics'!$A$4:$A$203,$A27,'5. Metrics'!$C$4:$C$203,$B27),""))</f>
        <v/>
      </c>
      <c r="I27" s="21">
        <f>IF($A27="","",IFERROR(AVERAGEIFS('5. Metrics'!$M$4:$M$203,'5. Metrics'!$A$4:$A$203,$A27,'5. Metrics'!$C$4:$C$203,$B27),""))</f>
        <v/>
      </c>
      <c r="J27" s="21">
        <f>IF($A27="","",IFERROR(AVERAGEIFS('5. Metrics'!$N$4:$N$203,'5. Metrics'!$A$4:$A$203,$A27,'5. Metrics'!$C$4:$C$203,$B27),""))</f>
        <v/>
      </c>
      <c r="K27" s="21">
        <f>IF($A27="","",IFERROR(AVERAGEIFS('5. Metrics'!$P$4:$P$203,'5. Metrics'!$A$4:$A$203,$A27,'5. Metrics'!$C$4:$C$203,$B27),""))</f>
        <v/>
      </c>
      <c r="L27" s="21">
        <f>IF($A27="","",IFERROR(AVERAGEIFS('5. Metrics'!$Q$4:$Q$203,'5. Metrics'!$A$4:$A$203,$A27,'5. Metrics'!$C$4:$C$203,$B27),""))</f>
        <v/>
      </c>
      <c r="M27" s="21">
        <f>IF($A27="","",IFERROR(AVERAGEIFS('5. Metrics'!$R$4:$R$203,'5. Metrics'!$A$4:$A$203,$A27,'5. Metrics'!$C$4:$C$203,$B27),""))</f>
        <v/>
      </c>
      <c r="N27" s="24">
        <f>IF($A27="","",IF('4. Quarterly'!L27="Yes",5,IF(AND(ISNUMBER(E27),E27&gt;'10. Thresholds'!$B$4,V27="Yes"),4,IF(AND('4. Quarterly'!K27="Yes",ISNUMBER(E27),E27&gt;='10. Thresholds'!$B$3),3,IF(AND(U27="Yes",ISNUMBER(D27),D27&gt;='10. Thresholds'!$B$5),2,1)))))</f>
        <v/>
      </c>
      <c r="O27" s="24">
        <f>IF($A27="","",IF(AND('4. Quarterly'!P27="Yes",'4. Quarterly'!Q27="Yes",'4. Quarterly'!M27="Yes",'4. Quarterly'!N27="Yes",'4. Quarterly'!O27="Yes",X27="Yes",Y27="Yes"),5,IF(AND('4. Quarterly'!M27="Yes",'4. Quarterly'!N27="Yes",'4. Quarterly'!O27="Yes",X27="Yes",Y27="Yes"),4,IF(AND(X27="Yes",Y27="Yes"),3,IF(W27="Yes",2,1)))))</f>
        <v/>
      </c>
      <c r="P27" s="24">
        <f>IF($A27="","",IF(AND('4. Quarterly'!V27="Yes",'4. Quarterly'!W27="Yes",'4. Quarterly'!X27="Yes",'4. Quarterly'!S27="Yes",'4. Quarterly'!T27="Yes",'4. Quarterly'!U27="Yes",'4. Quarterly'!E27="Yes",Z27="Yes",'4. Quarterly'!R27="Yes"),5,IF(AND('4. Quarterly'!S27="Yes",'4. Quarterly'!T27="Yes",'4. Quarterly'!U27="Yes",'4. Quarterly'!E27="Yes",Z27="Yes",'4. Quarterly'!R27="Yes"),4,IF(AND('4. Quarterly'!E27="Yes",Z27="Yes",'4. Quarterly'!R27="Yes"),3,IF(OR(Z27="Yes",'4. Quarterly'!R27="Yes",'4. Quarterly'!E27="Yes"),2,1)))))</f>
        <v/>
      </c>
      <c r="Q27" s="24">
        <f>IF($A27="","",IF(AA27&lt;&gt;"Yes",1,IF(AB27&lt;&gt;"Yes",2,IF(AND('4. Quarterly'!AA27="Yes",'4. Quarterly'!Y27="Yes",'4. Quarterly'!Z27="Yes",ISNUMBER(M27),M27&gt;='10. Thresholds'!$B$7,ISNUMBER(L27),L27&lt;='10. Thresholds'!$B$8),5,IF(AND('4. Quarterly'!Y27="Yes",'4. Quarterly'!Z27="Yes",ISNUMBER(M27),M27&gt;='10. Thresholds'!$B$6),4,3)))))</f>
        <v/>
      </c>
      <c r="R27" s="24">
        <f>IF($A27="","",IF(AND('4. Quarterly'!C27="Yes",'4. Quarterly'!D27="Yes",'4. Quarterly'!E27="Yes",'4. Quarterly'!F27="Yes",'4. Quarterly'!G27="Yes",'4. Quarterly'!H27="Yes",'4. Quarterly'!I27="Yes",'4. Quarterly'!J27="Yes"),5,IF(AND('4. Quarterly'!C27="Yes",'4. Quarterly'!D27="Yes",'4. Quarterly'!E27="Yes",'4. Quarterly'!F27="Yes",'4. Quarterly'!G27="Yes"),4,IF(AND('4. Quarterly'!C27="Yes",'4. Quarterly'!D27="Yes",'4. Quarterly'!E27="Yes"),3,IF(COUNTIF('4. Quarterly'!C27:J27,"Yes")&gt;=2,2,1)))))</f>
        <v/>
      </c>
      <c r="S27" s="24">
        <f>IF($A27="","",MIN(R27,P27,ROUND(AVERAGE(N27,O27,P27,Q27,R27),0)))</f>
        <v/>
      </c>
      <c r="T27" s="4">
        <f>IF($A27="","",$A27&amp;"|"&amp;$B27)</f>
        <v/>
      </c>
      <c r="U27" s="4">
        <f>IF($A27="","No",IF(COUNTIFS('3. Monthly'!$A$4:$A$203,$A27,'3. Monthly'!$C$4:$C$203,$B27,'3. Monthly'!$E$4:$E$203,"&gt;0")&gt;0,"Yes","No"))</f>
        <v/>
      </c>
      <c r="V27" s="4">
        <f>IF($A27="","No",IF(COUNTIFS('3. Monthly'!$A$4:$A$203,$A27,'3. Monthly'!$C$4:$C$203,$B27,'3. Monthly'!$I$4:$I$203,"&gt;0")&gt;0,"Yes","No"))</f>
        <v/>
      </c>
      <c r="W27" s="4">
        <f>IF($A27="","No",IF(COUNTIFS('3. Monthly'!$A$4:$A$203,$A27,'3. Monthly'!$C$4:$C$203,$B27,'3. Monthly'!$K$4:$K$203,"&gt;=0",'3. Monthly'!$L$4:$L$203,"&gt;0")&gt;0,"Yes","No"))</f>
        <v/>
      </c>
      <c r="X27" s="4">
        <f>IF($A27="","No",IF(COUNTIFS('3. Monthly'!$A$4:$A$203,$A27,'3. Monthly'!$C$4:$C$203,$B27,'3. Monthly'!$J$4:$J$203,"&gt;=0",'3. Monthly'!$K$4:$K$203,"&gt;=0",'3. Monthly'!$M$4:$M$203,"&gt;=0",'3. Monthly'!$N$4:$N$203,"&gt;=0",'3. Monthly'!$L$4:$L$203,"&gt;0")&gt;0,"Yes","No"))</f>
        <v/>
      </c>
      <c r="Y27" s="4">
        <f>IF($A27="","No",IF(COUNTIFS('3. Monthly'!$A$4:$A$203,$A27,'3. Monthly'!$C$4:$C$203,$B27,'3. Monthly'!$O$4:$O$203,"&gt;0")&gt;0,"Yes","No"))</f>
        <v/>
      </c>
      <c r="Z27" s="4">
        <f>IF($A27="","No",IF(COUNTIFS('3. Monthly'!$A$4:$A$203,$A27,'3. Monthly'!$C$4:$C$203,$B27,'3. Monthly'!$Q$4:$Q$203,"&gt;=0",'3. Monthly'!$G$4:$G$203,"&gt;0")&gt;0,"Yes","No"))</f>
        <v/>
      </c>
      <c r="AA27" s="4">
        <f>IF($A27="","No",IF(COUNTIFS('3. Monthly'!$A$4:$A$203,$A27,'3. Monthly'!$C$4:$C$203,$B27,'3. Monthly'!$H$4:$H$203,"&gt;0")&gt;0,"Yes","No"))</f>
        <v/>
      </c>
      <c r="AB27" s="4">
        <f>IF($A27="","No",IF(COUNTIFS('3. Monthly'!$A$4:$A$203,$A27,'3. Monthly'!$C$4:$C$203,$B27,'3. Monthly'!$U$4:$U$203,"&gt;=0",'3. Monthly'!$V$4:$V$203,"&gt;=0",'3. Monthly'!$H$4:$H$203,"&gt;0")&gt;0,"Yes","No"))</f>
        <v/>
      </c>
    </row>
    <row r="28">
      <c r="A28" s="4">
        <f>'4. Quarterly'!A28</f>
        <v/>
      </c>
      <c r="B28" s="4">
        <f>'4. Quarterly'!B28</f>
        <v/>
      </c>
      <c r="C28" s="4">
        <f>IFERROR(VLOOKUP($A28,'2. Projects'!$A$3:$B$20,2,0),"")</f>
        <v/>
      </c>
      <c r="D28" s="21">
        <f>IF($A28="","",IFERROR(AVERAGEIFS('5. Metrics'!$D$4:$D$203,'5. Metrics'!$A$4:$A$203,$A28,'5. Metrics'!$C$4:$C$203,$B28),""))</f>
        <v/>
      </c>
      <c r="E28" s="21">
        <f>IF($A28="","",IFERROR(AVERAGEIFS('5. Metrics'!$E$4:$E$203,'5. Metrics'!$A$4:$A$203,$A28,'5. Metrics'!$C$4:$C$203,$B28),""))</f>
        <v/>
      </c>
      <c r="F28" s="21">
        <f>IF($A28="","",IFERROR(AVERAGEIFS('5. Metrics'!$F$4:$F$203,'5. Metrics'!$A$4:$A$203,$A28,'5. Metrics'!$C$4:$C$203,$B28),""))</f>
        <v/>
      </c>
      <c r="G28" s="21">
        <f>IF($A28="","",IFERROR(AVERAGEIFS('5. Metrics'!$I$4:$I$203,'5. Metrics'!$A$4:$A$203,$A28,'5. Metrics'!$C$4:$C$203,$B28),""))</f>
        <v/>
      </c>
      <c r="H28" s="21">
        <f>IF($A28="","",IFERROR(AVERAGEIFS('5. Metrics'!$L$4:$L$203,'5. Metrics'!$A$4:$A$203,$A28,'5. Metrics'!$C$4:$C$203,$B28),""))</f>
        <v/>
      </c>
      <c r="I28" s="21">
        <f>IF($A28="","",IFERROR(AVERAGEIFS('5. Metrics'!$M$4:$M$203,'5. Metrics'!$A$4:$A$203,$A28,'5. Metrics'!$C$4:$C$203,$B28),""))</f>
        <v/>
      </c>
      <c r="J28" s="21">
        <f>IF($A28="","",IFERROR(AVERAGEIFS('5. Metrics'!$N$4:$N$203,'5. Metrics'!$A$4:$A$203,$A28,'5. Metrics'!$C$4:$C$203,$B28),""))</f>
        <v/>
      </c>
      <c r="K28" s="21">
        <f>IF($A28="","",IFERROR(AVERAGEIFS('5. Metrics'!$P$4:$P$203,'5. Metrics'!$A$4:$A$203,$A28,'5. Metrics'!$C$4:$C$203,$B28),""))</f>
        <v/>
      </c>
      <c r="L28" s="21">
        <f>IF($A28="","",IFERROR(AVERAGEIFS('5. Metrics'!$Q$4:$Q$203,'5. Metrics'!$A$4:$A$203,$A28,'5. Metrics'!$C$4:$C$203,$B28),""))</f>
        <v/>
      </c>
      <c r="M28" s="21">
        <f>IF($A28="","",IFERROR(AVERAGEIFS('5. Metrics'!$R$4:$R$203,'5. Metrics'!$A$4:$A$203,$A28,'5. Metrics'!$C$4:$C$203,$B28),""))</f>
        <v/>
      </c>
      <c r="N28" s="24">
        <f>IF($A28="","",IF('4. Quarterly'!L28="Yes",5,IF(AND(ISNUMBER(E28),E28&gt;'10. Thresholds'!$B$4,V28="Yes"),4,IF(AND('4. Quarterly'!K28="Yes",ISNUMBER(E28),E28&gt;='10. Thresholds'!$B$3),3,IF(AND(U28="Yes",ISNUMBER(D28),D28&gt;='10. Thresholds'!$B$5),2,1)))))</f>
        <v/>
      </c>
      <c r="O28" s="24">
        <f>IF($A28="","",IF(AND('4. Quarterly'!P28="Yes",'4. Quarterly'!Q28="Yes",'4. Quarterly'!M28="Yes",'4. Quarterly'!N28="Yes",'4. Quarterly'!O28="Yes",X28="Yes",Y28="Yes"),5,IF(AND('4. Quarterly'!M28="Yes",'4. Quarterly'!N28="Yes",'4. Quarterly'!O28="Yes",X28="Yes",Y28="Yes"),4,IF(AND(X28="Yes",Y28="Yes"),3,IF(W28="Yes",2,1)))))</f>
        <v/>
      </c>
      <c r="P28" s="24">
        <f>IF($A28="","",IF(AND('4. Quarterly'!V28="Yes",'4. Quarterly'!W28="Yes",'4. Quarterly'!X28="Yes",'4. Quarterly'!S28="Yes",'4. Quarterly'!T28="Yes",'4. Quarterly'!U28="Yes",'4. Quarterly'!E28="Yes",Z28="Yes",'4. Quarterly'!R28="Yes"),5,IF(AND('4. Quarterly'!S28="Yes",'4. Quarterly'!T28="Yes",'4. Quarterly'!U28="Yes",'4. Quarterly'!E28="Yes",Z28="Yes",'4. Quarterly'!R28="Yes"),4,IF(AND('4. Quarterly'!E28="Yes",Z28="Yes",'4. Quarterly'!R28="Yes"),3,IF(OR(Z28="Yes",'4. Quarterly'!R28="Yes",'4. Quarterly'!E28="Yes"),2,1)))))</f>
        <v/>
      </c>
      <c r="Q28" s="24">
        <f>IF($A28="","",IF(AA28&lt;&gt;"Yes",1,IF(AB28&lt;&gt;"Yes",2,IF(AND('4. Quarterly'!AA28="Yes",'4. Quarterly'!Y28="Yes",'4. Quarterly'!Z28="Yes",ISNUMBER(M28),M28&gt;='10. Thresholds'!$B$7,ISNUMBER(L28),L28&lt;='10. Thresholds'!$B$8),5,IF(AND('4. Quarterly'!Y28="Yes",'4. Quarterly'!Z28="Yes",ISNUMBER(M28),M28&gt;='10. Thresholds'!$B$6),4,3)))))</f>
        <v/>
      </c>
      <c r="R28" s="24">
        <f>IF($A28="","",IF(AND('4. Quarterly'!C28="Yes",'4. Quarterly'!D28="Yes",'4. Quarterly'!E28="Yes",'4. Quarterly'!F28="Yes",'4. Quarterly'!G28="Yes",'4. Quarterly'!H28="Yes",'4. Quarterly'!I28="Yes",'4. Quarterly'!J28="Yes"),5,IF(AND('4. Quarterly'!C28="Yes",'4. Quarterly'!D28="Yes",'4. Quarterly'!E28="Yes",'4. Quarterly'!F28="Yes",'4. Quarterly'!G28="Yes"),4,IF(AND('4. Quarterly'!C28="Yes",'4. Quarterly'!D28="Yes",'4. Quarterly'!E28="Yes"),3,IF(COUNTIF('4. Quarterly'!C28:J28,"Yes")&gt;=2,2,1)))))</f>
        <v/>
      </c>
      <c r="S28" s="24">
        <f>IF($A28="","",MIN(R28,P28,ROUND(AVERAGE(N28,O28,P28,Q28,R28),0)))</f>
        <v/>
      </c>
      <c r="T28" s="4">
        <f>IF($A28="","",$A28&amp;"|"&amp;$B28)</f>
        <v/>
      </c>
      <c r="U28" s="4">
        <f>IF($A28="","No",IF(COUNTIFS('3. Monthly'!$A$4:$A$203,$A28,'3. Monthly'!$C$4:$C$203,$B28,'3. Monthly'!$E$4:$E$203,"&gt;0")&gt;0,"Yes","No"))</f>
        <v/>
      </c>
      <c r="V28" s="4">
        <f>IF($A28="","No",IF(COUNTIFS('3. Monthly'!$A$4:$A$203,$A28,'3. Monthly'!$C$4:$C$203,$B28,'3. Monthly'!$I$4:$I$203,"&gt;0")&gt;0,"Yes","No"))</f>
        <v/>
      </c>
      <c r="W28" s="4">
        <f>IF($A28="","No",IF(COUNTIFS('3. Monthly'!$A$4:$A$203,$A28,'3. Monthly'!$C$4:$C$203,$B28,'3. Monthly'!$K$4:$K$203,"&gt;=0",'3. Monthly'!$L$4:$L$203,"&gt;0")&gt;0,"Yes","No"))</f>
        <v/>
      </c>
      <c r="X28" s="4">
        <f>IF($A28="","No",IF(COUNTIFS('3. Monthly'!$A$4:$A$203,$A28,'3. Monthly'!$C$4:$C$203,$B28,'3. Monthly'!$J$4:$J$203,"&gt;=0",'3. Monthly'!$K$4:$K$203,"&gt;=0",'3. Monthly'!$M$4:$M$203,"&gt;=0",'3. Monthly'!$N$4:$N$203,"&gt;=0",'3. Monthly'!$L$4:$L$203,"&gt;0")&gt;0,"Yes","No"))</f>
        <v/>
      </c>
      <c r="Y28" s="4">
        <f>IF($A28="","No",IF(COUNTIFS('3. Monthly'!$A$4:$A$203,$A28,'3. Monthly'!$C$4:$C$203,$B28,'3. Monthly'!$O$4:$O$203,"&gt;0")&gt;0,"Yes","No"))</f>
        <v/>
      </c>
      <c r="Z28" s="4">
        <f>IF($A28="","No",IF(COUNTIFS('3. Monthly'!$A$4:$A$203,$A28,'3. Monthly'!$C$4:$C$203,$B28,'3. Monthly'!$Q$4:$Q$203,"&gt;=0",'3. Monthly'!$G$4:$G$203,"&gt;0")&gt;0,"Yes","No"))</f>
        <v/>
      </c>
      <c r="AA28" s="4">
        <f>IF($A28="","No",IF(COUNTIFS('3. Monthly'!$A$4:$A$203,$A28,'3. Monthly'!$C$4:$C$203,$B28,'3. Monthly'!$H$4:$H$203,"&gt;0")&gt;0,"Yes","No"))</f>
        <v/>
      </c>
      <c r="AB28" s="4">
        <f>IF($A28="","No",IF(COUNTIFS('3. Monthly'!$A$4:$A$203,$A28,'3. Monthly'!$C$4:$C$203,$B28,'3. Monthly'!$U$4:$U$203,"&gt;=0",'3. Monthly'!$V$4:$V$203,"&gt;=0",'3. Monthly'!$H$4:$H$203,"&gt;0")&gt;0,"Yes","No"))</f>
        <v/>
      </c>
    </row>
    <row r="29">
      <c r="A29" s="4">
        <f>'4. Quarterly'!A29</f>
        <v/>
      </c>
      <c r="B29" s="4">
        <f>'4. Quarterly'!B29</f>
        <v/>
      </c>
      <c r="C29" s="4">
        <f>IFERROR(VLOOKUP($A29,'2. Projects'!$A$3:$B$20,2,0),"")</f>
        <v/>
      </c>
      <c r="D29" s="21">
        <f>IF($A29="","",IFERROR(AVERAGEIFS('5. Metrics'!$D$4:$D$203,'5. Metrics'!$A$4:$A$203,$A29,'5. Metrics'!$C$4:$C$203,$B29),""))</f>
        <v/>
      </c>
      <c r="E29" s="21">
        <f>IF($A29="","",IFERROR(AVERAGEIFS('5. Metrics'!$E$4:$E$203,'5. Metrics'!$A$4:$A$203,$A29,'5. Metrics'!$C$4:$C$203,$B29),""))</f>
        <v/>
      </c>
      <c r="F29" s="21">
        <f>IF($A29="","",IFERROR(AVERAGEIFS('5. Metrics'!$F$4:$F$203,'5. Metrics'!$A$4:$A$203,$A29,'5. Metrics'!$C$4:$C$203,$B29),""))</f>
        <v/>
      </c>
      <c r="G29" s="21">
        <f>IF($A29="","",IFERROR(AVERAGEIFS('5. Metrics'!$I$4:$I$203,'5. Metrics'!$A$4:$A$203,$A29,'5. Metrics'!$C$4:$C$203,$B29),""))</f>
        <v/>
      </c>
      <c r="H29" s="21">
        <f>IF($A29="","",IFERROR(AVERAGEIFS('5. Metrics'!$L$4:$L$203,'5. Metrics'!$A$4:$A$203,$A29,'5. Metrics'!$C$4:$C$203,$B29),""))</f>
        <v/>
      </c>
      <c r="I29" s="21">
        <f>IF($A29="","",IFERROR(AVERAGEIFS('5. Metrics'!$M$4:$M$203,'5. Metrics'!$A$4:$A$203,$A29,'5. Metrics'!$C$4:$C$203,$B29),""))</f>
        <v/>
      </c>
      <c r="J29" s="21">
        <f>IF($A29="","",IFERROR(AVERAGEIFS('5. Metrics'!$N$4:$N$203,'5. Metrics'!$A$4:$A$203,$A29,'5. Metrics'!$C$4:$C$203,$B29),""))</f>
        <v/>
      </c>
      <c r="K29" s="21">
        <f>IF($A29="","",IFERROR(AVERAGEIFS('5. Metrics'!$P$4:$P$203,'5. Metrics'!$A$4:$A$203,$A29,'5. Metrics'!$C$4:$C$203,$B29),""))</f>
        <v/>
      </c>
      <c r="L29" s="21">
        <f>IF($A29="","",IFERROR(AVERAGEIFS('5. Metrics'!$Q$4:$Q$203,'5. Metrics'!$A$4:$A$203,$A29,'5. Metrics'!$C$4:$C$203,$B29),""))</f>
        <v/>
      </c>
      <c r="M29" s="21">
        <f>IF($A29="","",IFERROR(AVERAGEIFS('5. Metrics'!$R$4:$R$203,'5. Metrics'!$A$4:$A$203,$A29,'5. Metrics'!$C$4:$C$203,$B29),""))</f>
        <v/>
      </c>
      <c r="N29" s="24">
        <f>IF($A29="","",IF('4. Quarterly'!L29="Yes",5,IF(AND(ISNUMBER(E29),E29&gt;'10. Thresholds'!$B$4,V29="Yes"),4,IF(AND('4. Quarterly'!K29="Yes",ISNUMBER(E29),E29&gt;='10. Thresholds'!$B$3),3,IF(AND(U29="Yes",ISNUMBER(D29),D29&gt;='10. Thresholds'!$B$5),2,1)))))</f>
        <v/>
      </c>
      <c r="O29" s="24">
        <f>IF($A29="","",IF(AND('4. Quarterly'!P29="Yes",'4. Quarterly'!Q29="Yes",'4. Quarterly'!M29="Yes",'4. Quarterly'!N29="Yes",'4. Quarterly'!O29="Yes",X29="Yes",Y29="Yes"),5,IF(AND('4. Quarterly'!M29="Yes",'4. Quarterly'!N29="Yes",'4. Quarterly'!O29="Yes",X29="Yes",Y29="Yes"),4,IF(AND(X29="Yes",Y29="Yes"),3,IF(W29="Yes",2,1)))))</f>
        <v/>
      </c>
      <c r="P29" s="24">
        <f>IF($A29="","",IF(AND('4. Quarterly'!V29="Yes",'4. Quarterly'!W29="Yes",'4. Quarterly'!X29="Yes",'4. Quarterly'!S29="Yes",'4. Quarterly'!T29="Yes",'4. Quarterly'!U29="Yes",'4. Quarterly'!E29="Yes",Z29="Yes",'4. Quarterly'!R29="Yes"),5,IF(AND('4. Quarterly'!S29="Yes",'4. Quarterly'!T29="Yes",'4. Quarterly'!U29="Yes",'4. Quarterly'!E29="Yes",Z29="Yes",'4. Quarterly'!R29="Yes"),4,IF(AND('4. Quarterly'!E29="Yes",Z29="Yes",'4. Quarterly'!R29="Yes"),3,IF(OR(Z29="Yes",'4. Quarterly'!R29="Yes",'4. Quarterly'!E29="Yes"),2,1)))))</f>
        <v/>
      </c>
      <c r="Q29" s="24">
        <f>IF($A29="","",IF(AA29&lt;&gt;"Yes",1,IF(AB29&lt;&gt;"Yes",2,IF(AND('4. Quarterly'!AA29="Yes",'4. Quarterly'!Y29="Yes",'4. Quarterly'!Z29="Yes",ISNUMBER(M29),M29&gt;='10. Thresholds'!$B$7,ISNUMBER(L29),L29&lt;='10. Thresholds'!$B$8),5,IF(AND('4. Quarterly'!Y29="Yes",'4. Quarterly'!Z29="Yes",ISNUMBER(M29),M29&gt;='10. Thresholds'!$B$6),4,3)))))</f>
        <v/>
      </c>
      <c r="R29" s="24">
        <f>IF($A29="","",IF(AND('4. Quarterly'!C29="Yes",'4. Quarterly'!D29="Yes",'4. Quarterly'!E29="Yes",'4. Quarterly'!F29="Yes",'4. Quarterly'!G29="Yes",'4. Quarterly'!H29="Yes",'4. Quarterly'!I29="Yes",'4. Quarterly'!J29="Yes"),5,IF(AND('4. Quarterly'!C29="Yes",'4. Quarterly'!D29="Yes",'4. Quarterly'!E29="Yes",'4. Quarterly'!F29="Yes",'4. Quarterly'!G29="Yes"),4,IF(AND('4. Quarterly'!C29="Yes",'4. Quarterly'!D29="Yes",'4. Quarterly'!E29="Yes"),3,IF(COUNTIF('4. Quarterly'!C29:J29,"Yes")&gt;=2,2,1)))))</f>
        <v/>
      </c>
      <c r="S29" s="24">
        <f>IF($A29="","",MIN(R29,P29,ROUND(AVERAGE(N29,O29,P29,Q29,R29),0)))</f>
        <v/>
      </c>
      <c r="T29" s="4">
        <f>IF($A29="","",$A29&amp;"|"&amp;$B29)</f>
        <v/>
      </c>
      <c r="U29" s="4">
        <f>IF($A29="","No",IF(COUNTIFS('3. Monthly'!$A$4:$A$203,$A29,'3. Monthly'!$C$4:$C$203,$B29,'3. Monthly'!$E$4:$E$203,"&gt;0")&gt;0,"Yes","No"))</f>
        <v/>
      </c>
      <c r="V29" s="4">
        <f>IF($A29="","No",IF(COUNTIFS('3. Monthly'!$A$4:$A$203,$A29,'3. Monthly'!$C$4:$C$203,$B29,'3. Monthly'!$I$4:$I$203,"&gt;0")&gt;0,"Yes","No"))</f>
        <v/>
      </c>
      <c r="W29" s="4">
        <f>IF($A29="","No",IF(COUNTIFS('3. Monthly'!$A$4:$A$203,$A29,'3. Monthly'!$C$4:$C$203,$B29,'3. Monthly'!$K$4:$K$203,"&gt;=0",'3. Monthly'!$L$4:$L$203,"&gt;0")&gt;0,"Yes","No"))</f>
        <v/>
      </c>
      <c r="X29" s="4">
        <f>IF($A29="","No",IF(COUNTIFS('3. Monthly'!$A$4:$A$203,$A29,'3. Monthly'!$C$4:$C$203,$B29,'3. Monthly'!$J$4:$J$203,"&gt;=0",'3. Monthly'!$K$4:$K$203,"&gt;=0",'3. Monthly'!$M$4:$M$203,"&gt;=0",'3. Monthly'!$N$4:$N$203,"&gt;=0",'3. Monthly'!$L$4:$L$203,"&gt;0")&gt;0,"Yes","No"))</f>
        <v/>
      </c>
      <c r="Y29" s="4">
        <f>IF($A29="","No",IF(COUNTIFS('3. Monthly'!$A$4:$A$203,$A29,'3. Monthly'!$C$4:$C$203,$B29,'3. Monthly'!$O$4:$O$203,"&gt;0")&gt;0,"Yes","No"))</f>
        <v/>
      </c>
      <c r="Z29" s="4">
        <f>IF($A29="","No",IF(COUNTIFS('3. Monthly'!$A$4:$A$203,$A29,'3. Monthly'!$C$4:$C$203,$B29,'3. Monthly'!$Q$4:$Q$203,"&gt;=0",'3. Monthly'!$G$4:$G$203,"&gt;0")&gt;0,"Yes","No"))</f>
        <v/>
      </c>
      <c r="AA29" s="4">
        <f>IF($A29="","No",IF(COUNTIFS('3. Monthly'!$A$4:$A$203,$A29,'3. Monthly'!$C$4:$C$203,$B29,'3. Monthly'!$H$4:$H$203,"&gt;0")&gt;0,"Yes","No"))</f>
        <v/>
      </c>
      <c r="AB29" s="4">
        <f>IF($A29="","No",IF(COUNTIFS('3. Monthly'!$A$4:$A$203,$A29,'3. Monthly'!$C$4:$C$203,$B29,'3. Monthly'!$U$4:$U$203,"&gt;=0",'3. Monthly'!$V$4:$V$203,"&gt;=0",'3. Monthly'!$H$4:$H$203,"&gt;0")&gt;0,"Yes","No"))</f>
        <v/>
      </c>
    </row>
    <row r="30">
      <c r="A30" s="4">
        <f>'4. Quarterly'!A30</f>
        <v/>
      </c>
      <c r="B30" s="4">
        <f>'4. Quarterly'!B30</f>
        <v/>
      </c>
      <c r="C30" s="4">
        <f>IFERROR(VLOOKUP($A30,'2. Projects'!$A$3:$B$20,2,0),"")</f>
        <v/>
      </c>
      <c r="D30" s="21">
        <f>IF($A30="","",IFERROR(AVERAGEIFS('5. Metrics'!$D$4:$D$203,'5. Metrics'!$A$4:$A$203,$A30,'5. Metrics'!$C$4:$C$203,$B30),""))</f>
        <v/>
      </c>
      <c r="E30" s="21">
        <f>IF($A30="","",IFERROR(AVERAGEIFS('5. Metrics'!$E$4:$E$203,'5. Metrics'!$A$4:$A$203,$A30,'5. Metrics'!$C$4:$C$203,$B30),""))</f>
        <v/>
      </c>
      <c r="F30" s="21">
        <f>IF($A30="","",IFERROR(AVERAGEIFS('5. Metrics'!$F$4:$F$203,'5. Metrics'!$A$4:$A$203,$A30,'5. Metrics'!$C$4:$C$203,$B30),""))</f>
        <v/>
      </c>
      <c r="G30" s="21">
        <f>IF($A30="","",IFERROR(AVERAGEIFS('5. Metrics'!$I$4:$I$203,'5. Metrics'!$A$4:$A$203,$A30,'5. Metrics'!$C$4:$C$203,$B30),""))</f>
        <v/>
      </c>
      <c r="H30" s="21">
        <f>IF($A30="","",IFERROR(AVERAGEIFS('5. Metrics'!$L$4:$L$203,'5. Metrics'!$A$4:$A$203,$A30,'5. Metrics'!$C$4:$C$203,$B30),""))</f>
        <v/>
      </c>
      <c r="I30" s="21">
        <f>IF($A30="","",IFERROR(AVERAGEIFS('5. Metrics'!$M$4:$M$203,'5. Metrics'!$A$4:$A$203,$A30,'5. Metrics'!$C$4:$C$203,$B30),""))</f>
        <v/>
      </c>
      <c r="J30" s="21">
        <f>IF($A30="","",IFERROR(AVERAGEIFS('5. Metrics'!$N$4:$N$203,'5. Metrics'!$A$4:$A$203,$A30,'5. Metrics'!$C$4:$C$203,$B30),""))</f>
        <v/>
      </c>
      <c r="K30" s="21">
        <f>IF($A30="","",IFERROR(AVERAGEIFS('5. Metrics'!$P$4:$P$203,'5. Metrics'!$A$4:$A$203,$A30,'5. Metrics'!$C$4:$C$203,$B30),""))</f>
        <v/>
      </c>
      <c r="L30" s="21">
        <f>IF($A30="","",IFERROR(AVERAGEIFS('5. Metrics'!$Q$4:$Q$203,'5. Metrics'!$A$4:$A$203,$A30,'5. Metrics'!$C$4:$C$203,$B30),""))</f>
        <v/>
      </c>
      <c r="M30" s="21">
        <f>IF($A30="","",IFERROR(AVERAGEIFS('5. Metrics'!$R$4:$R$203,'5. Metrics'!$A$4:$A$203,$A30,'5. Metrics'!$C$4:$C$203,$B30),""))</f>
        <v/>
      </c>
      <c r="N30" s="24">
        <f>IF($A30="","",IF('4. Quarterly'!L30="Yes",5,IF(AND(ISNUMBER(E30),E30&gt;'10. Thresholds'!$B$4,V30="Yes"),4,IF(AND('4. Quarterly'!K30="Yes",ISNUMBER(E30),E30&gt;='10. Thresholds'!$B$3),3,IF(AND(U30="Yes",ISNUMBER(D30),D30&gt;='10. Thresholds'!$B$5),2,1)))))</f>
        <v/>
      </c>
      <c r="O30" s="24">
        <f>IF($A30="","",IF(AND('4. Quarterly'!P30="Yes",'4. Quarterly'!Q30="Yes",'4. Quarterly'!M30="Yes",'4. Quarterly'!N30="Yes",'4. Quarterly'!O30="Yes",X30="Yes",Y30="Yes"),5,IF(AND('4. Quarterly'!M30="Yes",'4. Quarterly'!N30="Yes",'4. Quarterly'!O30="Yes",X30="Yes",Y30="Yes"),4,IF(AND(X30="Yes",Y30="Yes"),3,IF(W30="Yes",2,1)))))</f>
        <v/>
      </c>
      <c r="P30" s="24">
        <f>IF($A30="","",IF(AND('4. Quarterly'!V30="Yes",'4. Quarterly'!W30="Yes",'4. Quarterly'!X30="Yes",'4. Quarterly'!S30="Yes",'4. Quarterly'!T30="Yes",'4. Quarterly'!U30="Yes",'4. Quarterly'!E30="Yes",Z30="Yes",'4. Quarterly'!R30="Yes"),5,IF(AND('4. Quarterly'!S30="Yes",'4. Quarterly'!T30="Yes",'4. Quarterly'!U30="Yes",'4. Quarterly'!E30="Yes",Z30="Yes",'4. Quarterly'!R30="Yes"),4,IF(AND('4. Quarterly'!E30="Yes",Z30="Yes",'4. Quarterly'!R30="Yes"),3,IF(OR(Z30="Yes",'4. Quarterly'!R30="Yes",'4. Quarterly'!E30="Yes"),2,1)))))</f>
        <v/>
      </c>
      <c r="Q30" s="24">
        <f>IF($A30="","",IF(AA30&lt;&gt;"Yes",1,IF(AB30&lt;&gt;"Yes",2,IF(AND('4. Quarterly'!AA30="Yes",'4. Quarterly'!Y30="Yes",'4. Quarterly'!Z30="Yes",ISNUMBER(M30),M30&gt;='10. Thresholds'!$B$7,ISNUMBER(L30),L30&lt;='10. Thresholds'!$B$8),5,IF(AND('4. Quarterly'!Y30="Yes",'4. Quarterly'!Z30="Yes",ISNUMBER(M30),M30&gt;='10. Thresholds'!$B$6),4,3)))))</f>
        <v/>
      </c>
      <c r="R30" s="24">
        <f>IF($A30="","",IF(AND('4. Quarterly'!C30="Yes",'4. Quarterly'!D30="Yes",'4. Quarterly'!E30="Yes",'4. Quarterly'!F30="Yes",'4. Quarterly'!G30="Yes",'4. Quarterly'!H30="Yes",'4. Quarterly'!I30="Yes",'4. Quarterly'!J30="Yes"),5,IF(AND('4. Quarterly'!C30="Yes",'4. Quarterly'!D30="Yes",'4. Quarterly'!E30="Yes",'4. Quarterly'!F30="Yes",'4. Quarterly'!G30="Yes"),4,IF(AND('4. Quarterly'!C30="Yes",'4. Quarterly'!D30="Yes",'4. Quarterly'!E30="Yes"),3,IF(COUNTIF('4. Quarterly'!C30:J30,"Yes")&gt;=2,2,1)))))</f>
        <v/>
      </c>
      <c r="S30" s="24">
        <f>IF($A30="","",MIN(R30,P30,ROUND(AVERAGE(N30,O30,P30,Q30,R30),0)))</f>
        <v/>
      </c>
      <c r="T30" s="4">
        <f>IF($A30="","",$A30&amp;"|"&amp;$B30)</f>
        <v/>
      </c>
      <c r="U30" s="4">
        <f>IF($A30="","No",IF(COUNTIFS('3. Monthly'!$A$4:$A$203,$A30,'3. Monthly'!$C$4:$C$203,$B30,'3. Monthly'!$E$4:$E$203,"&gt;0")&gt;0,"Yes","No"))</f>
        <v/>
      </c>
      <c r="V30" s="4">
        <f>IF($A30="","No",IF(COUNTIFS('3. Monthly'!$A$4:$A$203,$A30,'3. Monthly'!$C$4:$C$203,$B30,'3. Monthly'!$I$4:$I$203,"&gt;0")&gt;0,"Yes","No"))</f>
        <v/>
      </c>
      <c r="W30" s="4">
        <f>IF($A30="","No",IF(COUNTIFS('3. Monthly'!$A$4:$A$203,$A30,'3. Monthly'!$C$4:$C$203,$B30,'3. Monthly'!$K$4:$K$203,"&gt;=0",'3. Monthly'!$L$4:$L$203,"&gt;0")&gt;0,"Yes","No"))</f>
        <v/>
      </c>
      <c r="X30" s="4">
        <f>IF($A30="","No",IF(COUNTIFS('3. Monthly'!$A$4:$A$203,$A30,'3. Monthly'!$C$4:$C$203,$B30,'3. Monthly'!$J$4:$J$203,"&gt;=0",'3. Monthly'!$K$4:$K$203,"&gt;=0",'3. Monthly'!$M$4:$M$203,"&gt;=0",'3. Monthly'!$N$4:$N$203,"&gt;=0",'3. Monthly'!$L$4:$L$203,"&gt;0")&gt;0,"Yes","No"))</f>
        <v/>
      </c>
      <c r="Y30" s="4">
        <f>IF($A30="","No",IF(COUNTIFS('3. Monthly'!$A$4:$A$203,$A30,'3. Monthly'!$C$4:$C$203,$B30,'3. Monthly'!$O$4:$O$203,"&gt;0")&gt;0,"Yes","No"))</f>
        <v/>
      </c>
      <c r="Z30" s="4">
        <f>IF($A30="","No",IF(COUNTIFS('3. Monthly'!$A$4:$A$203,$A30,'3. Monthly'!$C$4:$C$203,$B30,'3. Monthly'!$Q$4:$Q$203,"&gt;=0",'3. Monthly'!$G$4:$G$203,"&gt;0")&gt;0,"Yes","No"))</f>
        <v/>
      </c>
      <c r="AA30" s="4">
        <f>IF($A30="","No",IF(COUNTIFS('3. Monthly'!$A$4:$A$203,$A30,'3. Monthly'!$C$4:$C$203,$B30,'3. Monthly'!$H$4:$H$203,"&gt;0")&gt;0,"Yes","No"))</f>
        <v/>
      </c>
      <c r="AB30" s="4">
        <f>IF($A30="","No",IF(COUNTIFS('3. Monthly'!$A$4:$A$203,$A30,'3. Monthly'!$C$4:$C$203,$B30,'3. Monthly'!$U$4:$U$203,"&gt;=0",'3. Monthly'!$V$4:$V$203,"&gt;=0",'3. Monthly'!$H$4:$H$203,"&gt;0")&gt;0,"Yes","No"))</f>
        <v/>
      </c>
    </row>
    <row r="31">
      <c r="A31" s="4">
        <f>'4. Quarterly'!A31</f>
        <v/>
      </c>
      <c r="B31" s="4">
        <f>'4. Quarterly'!B31</f>
        <v/>
      </c>
      <c r="C31" s="4">
        <f>IFERROR(VLOOKUP($A31,'2. Projects'!$A$3:$B$20,2,0),"")</f>
        <v/>
      </c>
      <c r="D31" s="21">
        <f>IF($A31="","",IFERROR(AVERAGEIFS('5. Metrics'!$D$4:$D$203,'5. Metrics'!$A$4:$A$203,$A31,'5. Metrics'!$C$4:$C$203,$B31),""))</f>
        <v/>
      </c>
      <c r="E31" s="21">
        <f>IF($A31="","",IFERROR(AVERAGEIFS('5. Metrics'!$E$4:$E$203,'5. Metrics'!$A$4:$A$203,$A31,'5. Metrics'!$C$4:$C$203,$B31),""))</f>
        <v/>
      </c>
      <c r="F31" s="21">
        <f>IF($A31="","",IFERROR(AVERAGEIFS('5. Metrics'!$F$4:$F$203,'5. Metrics'!$A$4:$A$203,$A31,'5. Metrics'!$C$4:$C$203,$B31),""))</f>
        <v/>
      </c>
      <c r="G31" s="21">
        <f>IF($A31="","",IFERROR(AVERAGEIFS('5. Metrics'!$I$4:$I$203,'5. Metrics'!$A$4:$A$203,$A31,'5. Metrics'!$C$4:$C$203,$B31),""))</f>
        <v/>
      </c>
      <c r="H31" s="21">
        <f>IF($A31="","",IFERROR(AVERAGEIFS('5. Metrics'!$L$4:$L$203,'5. Metrics'!$A$4:$A$203,$A31,'5. Metrics'!$C$4:$C$203,$B31),""))</f>
        <v/>
      </c>
      <c r="I31" s="21">
        <f>IF($A31="","",IFERROR(AVERAGEIFS('5. Metrics'!$M$4:$M$203,'5. Metrics'!$A$4:$A$203,$A31,'5. Metrics'!$C$4:$C$203,$B31),""))</f>
        <v/>
      </c>
      <c r="J31" s="21">
        <f>IF($A31="","",IFERROR(AVERAGEIFS('5. Metrics'!$N$4:$N$203,'5. Metrics'!$A$4:$A$203,$A31,'5. Metrics'!$C$4:$C$203,$B31),""))</f>
        <v/>
      </c>
      <c r="K31" s="21">
        <f>IF($A31="","",IFERROR(AVERAGEIFS('5. Metrics'!$P$4:$P$203,'5. Metrics'!$A$4:$A$203,$A31,'5. Metrics'!$C$4:$C$203,$B31),""))</f>
        <v/>
      </c>
      <c r="L31" s="21">
        <f>IF($A31="","",IFERROR(AVERAGEIFS('5. Metrics'!$Q$4:$Q$203,'5. Metrics'!$A$4:$A$203,$A31,'5. Metrics'!$C$4:$C$203,$B31),""))</f>
        <v/>
      </c>
      <c r="M31" s="21">
        <f>IF($A31="","",IFERROR(AVERAGEIFS('5. Metrics'!$R$4:$R$203,'5. Metrics'!$A$4:$A$203,$A31,'5. Metrics'!$C$4:$C$203,$B31),""))</f>
        <v/>
      </c>
      <c r="N31" s="24">
        <f>IF($A31="","",IF('4. Quarterly'!L31="Yes",5,IF(AND(ISNUMBER(E31),E31&gt;'10. Thresholds'!$B$4,V31="Yes"),4,IF(AND('4. Quarterly'!K31="Yes",ISNUMBER(E31),E31&gt;='10. Thresholds'!$B$3),3,IF(AND(U31="Yes",ISNUMBER(D31),D31&gt;='10. Thresholds'!$B$5),2,1)))))</f>
        <v/>
      </c>
      <c r="O31" s="24">
        <f>IF($A31="","",IF(AND('4. Quarterly'!P31="Yes",'4. Quarterly'!Q31="Yes",'4. Quarterly'!M31="Yes",'4. Quarterly'!N31="Yes",'4. Quarterly'!O31="Yes",X31="Yes",Y31="Yes"),5,IF(AND('4. Quarterly'!M31="Yes",'4. Quarterly'!N31="Yes",'4. Quarterly'!O31="Yes",X31="Yes",Y31="Yes"),4,IF(AND(X31="Yes",Y31="Yes"),3,IF(W31="Yes",2,1)))))</f>
        <v/>
      </c>
      <c r="P31" s="24">
        <f>IF($A31="","",IF(AND('4. Quarterly'!V31="Yes",'4. Quarterly'!W31="Yes",'4. Quarterly'!X31="Yes",'4. Quarterly'!S31="Yes",'4. Quarterly'!T31="Yes",'4. Quarterly'!U31="Yes",'4. Quarterly'!E31="Yes",Z31="Yes",'4. Quarterly'!R31="Yes"),5,IF(AND('4. Quarterly'!S31="Yes",'4. Quarterly'!T31="Yes",'4. Quarterly'!U31="Yes",'4. Quarterly'!E31="Yes",Z31="Yes",'4. Quarterly'!R31="Yes"),4,IF(AND('4. Quarterly'!E31="Yes",Z31="Yes",'4. Quarterly'!R31="Yes"),3,IF(OR(Z31="Yes",'4. Quarterly'!R31="Yes",'4. Quarterly'!E31="Yes"),2,1)))))</f>
        <v/>
      </c>
      <c r="Q31" s="24">
        <f>IF($A31="","",IF(AA31&lt;&gt;"Yes",1,IF(AB31&lt;&gt;"Yes",2,IF(AND('4. Quarterly'!AA31="Yes",'4. Quarterly'!Y31="Yes",'4. Quarterly'!Z31="Yes",ISNUMBER(M31),M31&gt;='10. Thresholds'!$B$7,ISNUMBER(L31),L31&lt;='10. Thresholds'!$B$8),5,IF(AND('4. Quarterly'!Y31="Yes",'4. Quarterly'!Z31="Yes",ISNUMBER(M31),M31&gt;='10. Thresholds'!$B$6),4,3)))))</f>
        <v/>
      </c>
      <c r="R31" s="24">
        <f>IF($A31="","",IF(AND('4. Quarterly'!C31="Yes",'4. Quarterly'!D31="Yes",'4. Quarterly'!E31="Yes",'4. Quarterly'!F31="Yes",'4. Quarterly'!G31="Yes",'4. Quarterly'!H31="Yes",'4. Quarterly'!I31="Yes",'4. Quarterly'!J31="Yes"),5,IF(AND('4. Quarterly'!C31="Yes",'4. Quarterly'!D31="Yes",'4. Quarterly'!E31="Yes",'4. Quarterly'!F31="Yes",'4. Quarterly'!G31="Yes"),4,IF(AND('4. Quarterly'!C31="Yes",'4. Quarterly'!D31="Yes",'4. Quarterly'!E31="Yes"),3,IF(COUNTIF('4. Quarterly'!C31:J31,"Yes")&gt;=2,2,1)))))</f>
        <v/>
      </c>
      <c r="S31" s="24">
        <f>IF($A31="","",MIN(R31,P31,ROUND(AVERAGE(N31,O31,P31,Q31,R31),0)))</f>
        <v/>
      </c>
      <c r="T31" s="4">
        <f>IF($A31="","",$A31&amp;"|"&amp;$B31)</f>
        <v/>
      </c>
      <c r="U31" s="4">
        <f>IF($A31="","No",IF(COUNTIFS('3. Monthly'!$A$4:$A$203,$A31,'3. Monthly'!$C$4:$C$203,$B31,'3. Monthly'!$E$4:$E$203,"&gt;0")&gt;0,"Yes","No"))</f>
        <v/>
      </c>
      <c r="V31" s="4">
        <f>IF($A31="","No",IF(COUNTIFS('3. Monthly'!$A$4:$A$203,$A31,'3. Monthly'!$C$4:$C$203,$B31,'3. Monthly'!$I$4:$I$203,"&gt;0")&gt;0,"Yes","No"))</f>
        <v/>
      </c>
      <c r="W31" s="4">
        <f>IF($A31="","No",IF(COUNTIFS('3. Monthly'!$A$4:$A$203,$A31,'3. Monthly'!$C$4:$C$203,$B31,'3. Monthly'!$K$4:$K$203,"&gt;=0",'3. Monthly'!$L$4:$L$203,"&gt;0")&gt;0,"Yes","No"))</f>
        <v/>
      </c>
      <c r="X31" s="4">
        <f>IF($A31="","No",IF(COUNTIFS('3. Monthly'!$A$4:$A$203,$A31,'3. Monthly'!$C$4:$C$203,$B31,'3. Monthly'!$J$4:$J$203,"&gt;=0",'3. Monthly'!$K$4:$K$203,"&gt;=0",'3. Monthly'!$M$4:$M$203,"&gt;=0",'3. Monthly'!$N$4:$N$203,"&gt;=0",'3. Monthly'!$L$4:$L$203,"&gt;0")&gt;0,"Yes","No"))</f>
        <v/>
      </c>
      <c r="Y31" s="4">
        <f>IF($A31="","No",IF(COUNTIFS('3. Monthly'!$A$4:$A$203,$A31,'3. Monthly'!$C$4:$C$203,$B31,'3. Monthly'!$O$4:$O$203,"&gt;0")&gt;0,"Yes","No"))</f>
        <v/>
      </c>
      <c r="Z31" s="4">
        <f>IF($A31="","No",IF(COUNTIFS('3. Monthly'!$A$4:$A$203,$A31,'3. Monthly'!$C$4:$C$203,$B31,'3. Monthly'!$Q$4:$Q$203,"&gt;=0",'3. Monthly'!$G$4:$G$203,"&gt;0")&gt;0,"Yes","No"))</f>
        <v/>
      </c>
      <c r="AA31" s="4">
        <f>IF($A31="","No",IF(COUNTIFS('3. Monthly'!$A$4:$A$203,$A31,'3. Monthly'!$C$4:$C$203,$B31,'3. Monthly'!$H$4:$H$203,"&gt;0")&gt;0,"Yes","No"))</f>
        <v/>
      </c>
      <c r="AB31" s="4">
        <f>IF($A31="","No",IF(COUNTIFS('3. Monthly'!$A$4:$A$203,$A31,'3. Monthly'!$C$4:$C$203,$B31,'3. Monthly'!$U$4:$U$203,"&gt;=0",'3. Monthly'!$V$4:$V$203,"&gt;=0",'3. Monthly'!$H$4:$H$203,"&gt;0")&gt;0,"Yes","No"))</f>
        <v/>
      </c>
    </row>
    <row r="32">
      <c r="A32" s="4">
        <f>'4. Quarterly'!A32</f>
        <v/>
      </c>
      <c r="B32" s="4">
        <f>'4. Quarterly'!B32</f>
        <v/>
      </c>
      <c r="C32" s="4">
        <f>IFERROR(VLOOKUP($A32,'2. Projects'!$A$3:$B$20,2,0),"")</f>
        <v/>
      </c>
      <c r="D32" s="21">
        <f>IF($A32="","",IFERROR(AVERAGEIFS('5. Metrics'!$D$4:$D$203,'5. Metrics'!$A$4:$A$203,$A32,'5. Metrics'!$C$4:$C$203,$B32),""))</f>
        <v/>
      </c>
      <c r="E32" s="21">
        <f>IF($A32="","",IFERROR(AVERAGEIFS('5. Metrics'!$E$4:$E$203,'5. Metrics'!$A$4:$A$203,$A32,'5. Metrics'!$C$4:$C$203,$B32),""))</f>
        <v/>
      </c>
      <c r="F32" s="21">
        <f>IF($A32="","",IFERROR(AVERAGEIFS('5. Metrics'!$F$4:$F$203,'5. Metrics'!$A$4:$A$203,$A32,'5. Metrics'!$C$4:$C$203,$B32),""))</f>
        <v/>
      </c>
      <c r="G32" s="21">
        <f>IF($A32="","",IFERROR(AVERAGEIFS('5. Metrics'!$I$4:$I$203,'5. Metrics'!$A$4:$A$203,$A32,'5. Metrics'!$C$4:$C$203,$B32),""))</f>
        <v/>
      </c>
      <c r="H32" s="21">
        <f>IF($A32="","",IFERROR(AVERAGEIFS('5. Metrics'!$L$4:$L$203,'5. Metrics'!$A$4:$A$203,$A32,'5. Metrics'!$C$4:$C$203,$B32),""))</f>
        <v/>
      </c>
      <c r="I32" s="21">
        <f>IF($A32="","",IFERROR(AVERAGEIFS('5. Metrics'!$M$4:$M$203,'5. Metrics'!$A$4:$A$203,$A32,'5. Metrics'!$C$4:$C$203,$B32),""))</f>
        <v/>
      </c>
      <c r="J32" s="21">
        <f>IF($A32="","",IFERROR(AVERAGEIFS('5. Metrics'!$N$4:$N$203,'5. Metrics'!$A$4:$A$203,$A32,'5. Metrics'!$C$4:$C$203,$B32),""))</f>
        <v/>
      </c>
      <c r="K32" s="21">
        <f>IF($A32="","",IFERROR(AVERAGEIFS('5. Metrics'!$P$4:$P$203,'5. Metrics'!$A$4:$A$203,$A32,'5. Metrics'!$C$4:$C$203,$B32),""))</f>
        <v/>
      </c>
      <c r="L32" s="21">
        <f>IF($A32="","",IFERROR(AVERAGEIFS('5. Metrics'!$Q$4:$Q$203,'5. Metrics'!$A$4:$A$203,$A32,'5. Metrics'!$C$4:$C$203,$B32),""))</f>
        <v/>
      </c>
      <c r="M32" s="21">
        <f>IF($A32="","",IFERROR(AVERAGEIFS('5. Metrics'!$R$4:$R$203,'5. Metrics'!$A$4:$A$203,$A32,'5. Metrics'!$C$4:$C$203,$B32),""))</f>
        <v/>
      </c>
      <c r="N32" s="24">
        <f>IF($A32="","",IF('4. Quarterly'!L32="Yes",5,IF(AND(ISNUMBER(E32),E32&gt;'10. Thresholds'!$B$4,V32="Yes"),4,IF(AND('4. Quarterly'!K32="Yes",ISNUMBER(E32),E32&gt;='10. Thresholds'!$B$3),3,IF(AND(U32="Yes",ISNUMBER(D32),D32&gt;='10. Thresholds'!$B$5),2,1)))))</f>
        <v/>
      </c>
      <c r="O32" s="24">
        <f>IF($A32="","",IF(AND('4. Quarterly'!P32="Yes",'4. Quarterly'!Q32="Yes",'4. Quarterly'!M32="Yes",'4. Quarterly'!N32="Yes",'4. Quarterly'!O32="Yes",X32="Yes",Y32="Yes"),5,IF(AND('4. Quarterly'!M32="Yes",'4. Quarterly'!N32="Yes",'4. Quarterly'!O32="Yes",X32="Yes",Y32="Yes"),4,IF(AND(X32="Yes",Y32="Yes"),3,IF(W32="Yes",2,1)))))</f>
        <v/>
      </c>
      <c r="P32" s="24">
        <f>IF($A32="","",IF(AND('4. Quarterly'!V32="Yes",'4. Quarterly'!W32="Yes",'4. Quarterly'!X32="Yes",'4. Quarterly'!S32="Yes",'4. Quarterly'!T32="Yes",'4. Quarterly'!U32="Yes",'4. Quarterly'!E32="Yes",Z32="Yes",'4. Quarterly'!R32="Yes"),5,IF(AND('4. Quarterly'!S32="Yes",'4. Quarterly'!T32="Yes",'4. Quarterly'!U32="Yes",'4. Quarterly'!E32="Yes",Z32="Yes",'4. Quarterly'!R32="Yes"),4,IF(AND('4. Quarterly'!E32="Yes",Z32="Yes",'4. Quarterly'!R32="Yes"),3,IF(OR(Z32="Yes",'4. Quarterly'!R32="Yes",'4. Quarterly'!E32="Yes"),2,1)))))</f>
        <v/>
      </c>
      <c r="Q32" s="24">
        <f>IF($A32="","",IF(AA32&lt;&gt;"Yes",1,IF(AB32&lt;&gt;"Yes",2,IF(AND('4. Quarterly'!AA32="Yes",'4. Quarterly'!Y32="Yes",'4. Quarterly'!Z32="Yes",ISNUMBER(M32),M32&gt;='10. Thresholds'!$B$7,ISNUMBER(L32),L32&lt;='10. Thresholds'!$B$8),5,IF(AND('4. Quarterly'!Y32="Yes",'4. Quarterly'!Z32="Yes",ISNUMBER(M32),M32&gt;='10. Thresholds'!$B$6),4,3)))))</f>
        <v/>
      </c>
      <c r="R32" s="24">
        <f>IF($A32="","",IF(AND('4. Quarterly'!C32="Yes",'4. Quarterly'!D32="Yes",'4. Quarterly'!E32="Yes",'4. Quarterly'!F32="Yes",'4. Quarterly'!G32="Yes",'4. Quarterly'!H32="Yes",'4. Quarterly'!I32="Yes",'4. Quarterly'!J32="Yes"),5,IF(AND('4. Quarterly'!C32="Yes",'4. Quarterly'!D32="Yes",'4. Quarterly'!E32="Yes",'4. Quarterly'!F32="Yes",'4. Quarterly'!G32="Yes"),4,IF(AND('4. Quarterly'!C32="Yes",'4. Quarterly'!D32="Yes",'4. Quarterly'!E32="Yes"),3,IF(COUNTIF('4. Quarterly'!C32:J32,"Yes")&gt;=2,2,1)))))</f>
        <v/>
      </c>
      <c r="S32" s="24">
        <f>IF($A32="","",MIN(R32,P32,ROUND(AVERAGE(N32,O32,P32,Q32,R32),0)))</f>
        <v/>
      </c>
      <c r="T32" s="4">
        <f>IF($A32="","",$A32&amp;"|"&amp;$B32)</f>
        <v/>
      </c>
      <c r="U32" s="4">
        <f>IF($A32="","No",IF(COUNTIFS('3. Monthly'!$A$4:$A$203,$A32,'3. Monthly'!$C$4:$C$203,$B32,'3. Monthly'!$E$4:$E$203,"&gt;0")&gt;0,"Yes","No"))</f>
        <v/>
      </c>
      <c r="V32" s="4">
        <f>IF($A32="","No",IF(COUNTIFS('3. Monthly'!$A$4:$A$203,$A32,'3. Monthly'!$C$4:$C$203,$B32,'3. Monthly'!$I$4:$I$203,"&gt;0")&gt;0,"Yes","No"))</f>
        <v/>
      </c>
      <c r="W32" s="4">
        <f>IF($A32="","No",IF(COUNTIFS('3. Monthly'!$A$4:$A$203,$A32,'3. Monthly'!$C$4:$C$203,$B32,'3. Monthly'!$K$4:$K$203,"&gt;=0",'3. Monthly'!$L$4:$L$203,"&gt;0")&gt;0,"Yes","No"))</f>
        <v/>
      </c>
      <c r="X32" s="4">
        <f>IF($A32="","No",IF(COUNTIFS('3. Monthly'!$A$4:$A$203,$A32,'3. Monthly'!$C$4:$C$203,$B32,'3. Monthly'!$J$4:$J$203,"&gt;=0",'3. Monthly'!$K$4:$K$203,"&gt;=0",'3. Monthly'!$M$4:$M$203,"&gt;=0",'3. Monthly'!$N$4:$N$203,"&gt;=0",'3. Monthly'!$L$4:$L$203,"&gt;0")&gt;0,"Yes","No"))</f>
        <v/>
      </c>
      <c r="Y32" s="4">
        <f>IF($A32="","No",IF(COUNTIFS('3. Monthly'!$A$4:$A$203,$A32,'3. Monthly'!$C$4:$C$203,$B32,'3. Monthly'!$O$4:$O$203,"&gt;0")&gt;0,"Yes","No"))</f>
        <v/>
      </c>
      <c r="Z32" s="4">
        <f>IF($A32="","No",IF(COUNTIFS('3. Monthly'!$A$4:$A$203,$A32,'3. Monthly'!$C$4:$C$203,$B32,'3. Monthly'!$Q$4:$Q$203,"&gt;=0",'3. Monthly'!$G$4:$G$203,"&gt;0")&gt;0,"Yes","No"))</f>
        <v/>
      </c>
      <c r="AA32" s="4">
        <f>IF($A32="","No",IF(COUNTIFS('3. Monthly'!$A$4:$A$203,$A32,'3. Monthly'!$C$4:$C$203,$B32,'3. Monthly'!$H$4:$H$203,"&gt;0")&gt;0,"Yes","No"))</f>
        <v/>
      </c>
      <c r="AB32" s="4">
        <f>IF($A32="","No",IF(COUNTIFS('3. Monthly'!$A$4:$A$203,$A32,'3. Monthly'!$C$4:$C$203,$B32,'3. Monthly'!$U$4:$U$203,"&gt;=0",'3. Monthly'!$V$4:$V$203,"&gt;=0",'3. Monthly'!$H$4:$H$203,"&gt;0")&gt;0,"Yes","No"))</f>
        <v/>
      </c>
    </row>
    <row r="33">
      <c r="A33" s="4">
        <f>'4. Quarterly'!A33</f>
        <v/>
      </c>
      <c r="B33" s="4">
        <f>'4. Quarterly'!B33</f>
        <v/>
      </c>
      <c r="C33" s="4">
        <f>IFERROR(VLOOKUP($A33,'2. Projects'!$A$3:$B$20,2,0),"")</f>
        <v/>
      </c>
      <c r="D33" s="21">
        <f>IF($A33="","",IFERROR(AVERAGEIFS('5. Metrics'!$D$4:$D$203,'5. Metrics'!$A$4:$A$203,$A33,'5. Metrics'!$C$4:$C$203,$B33),""))</f>
        <v/>
      </c>
      <c r="E33" s="21">
        <f>IF($A33="","",IFERROR(AVERAGEIFS('5. Metrics'!$E$4:$E$203,'5. Metrics'!$A$4:$A$203,$A33,'5. Metrics'!$C$4:$C$203,$B33),""))</f>
        <v/>
      </c>
      <c r="F33" s="21">
        <f>IF($A33="","",IFERROR(AVERAGEIFS('5. Metrics'!$F$4:$F$203,'5. Metrics'!$A$4:$A$203,$A33,'5. Metrics'!$C$4:$C$203,$B33),""))</f>
        <v/>
      </c>
      <c r="G33" s="21">
        <f>IF($A33="","",IFERROR(AVERAGEIFS('5. Metrics'!$I$4:$I$203,'5. Metrics'!$A$4:$A$203,$A33,'5. Metrics'!$C$4:$C$203,$B33),""))</f>
        <v/>
      </c>
      <c r="H33" s="21">
        <f>IF($A33="","",IFERROR(AVERAGEIFS('5. Metrics'!$L$4:$L$203,'5. Metrics'!$A$4:$A$203,$A33,'5. Metrics'!$C$4:$C$203,$B33),""))</f>
        <v/>
      </c>
      <c r="I33" s="21">
        <f>IF($A33="","",IFERROR(AVERAGEIFS('5. Metrics'!$M$4:$M$203,'5. Metrics'!$A$4:$A$203,$A33,'5. Metrics'!$C$4:$C$203,$B33),""))</f>
        <v/>
      </c>
      <c r="J33" s="21">
        <f>IF($A33="","",IFERROR(AVERAGEIFS('5. Metrics'!$N$4:$N$203,'5. Metrics'!$A$4:$A$203,$A33,'5. Metrics'!$C$4:$C$203,$B33),""))</f>
        <v/>
      </c>
      <c r="K33" s="21">
        <f>IF($A33="","",IFERROR(AVERAGEIFS('5. Metrics'!$P$4:$P$203,'5. Metrics'!$A$4:$A$203,$A33,'5. Metrics'!$C$4:$C$203,$B33),""))</f>
        <v/>
      </c>
      <c r="L33" s="21">
        <f>IF($A33="","",IFERROR(AVERAGEIFS('5. Metrics'!$Q$4:$Q$203,'5. Metrics'!$A$4:$A$203,$A33,'5. Metrics'!$C$4:$C$203,$B33),""))</f>
        <v/>
      </c>
      <c r="M33" s="21">
        <f>IF($A33="","",IFERROR(AVERAGEIFS('5. Metrics'!$R$4:$R$203,'5. Metrics'!$A$4:$A$203,$A33,'5. Metrics'!$C$4:$C$203,$B33),""))</f>
        <v/>
      </c>
      <c r="N33" s="24">
        <f>IF($A33="","",IF('4. Quarterly'!L33="Yes",5,IF(AND(ISNUMBER(E33),E33&gt;'10. Thresholds'!$B$4,V33="Yes"),4,IF(AND('4. Quarterly'!K33="Yes",ISNUMBER(E33),E33&gt;='10. Thresholds'!$B$3),3,IF(AND(U33="Yes",ISNUMBER(D33),D33&gt;='10. Thresholds'!$B$5),2,1)))))</f>
        <v/>
      </c>
      <c r="O33" s="24">
        <f>IF($A33="","",IF(AND('4. Quarterly'!P33="Yes",'4. Quarterly'!Q33="Yes",'4. Quarterly'!M33="Yes",'4. Quarterly'!N33="Yes",'4. Quarterly'!O33="Yes",X33="Yes",Y33="Yes"),5,IF(AND('4. Quarterly'!M33="Yes",'4. Quarterly'!N33="Yes",'4. Quarterly'!O33="Yes",X33="Yes",Y33="Yes"),4,IF(AND(X33="Yes",Y33="Yes"),3,IF(W33="Yes",2,1)))))</f>
        <v/>
      </c>
      <c r="P33" s="24">
        <f>IF($A33="","",IF(AND('4. Quarterly'!V33="Yes",'4. Quarterly'!W33="Yes",'4. Quarterly'!X33="Yes",'4. Quarterly'!S33="Yes",'4. Quarterly'!T33="Yes",'4. Quarterly'!U33="Yes",'4. Quarterly'!E33="Yes",Z33="Yes",'4. Quarterly'!R33="Yes"),5,IF(AND('4. Quarterly'!S33="Yes",'4. Quarterly'!T33="Yes",'4. Quarterly'!U33="Yes",'4. Quarterly'!E33="Yes",Z33="Yes",'4. Quarterly'!R33="Yes"),4,IF(AND('4. Quarterly'!E33="Yes",Z33="Yes",'4. Quarterly'!R33="Yes"),3,IF(OR(Z33="Yes",'4. Quarterly'!R33="Yes",'4. Quarterly'!E33="Yes"),2,1)))))</f>
        <v/>
      </c>
      <c r="Q33" s="24">
        <f>IF($A33="","",IF(AA33&lt;&gt;"Yes",1,IF(AB33&lt;&gt;"Yes",2,IF(AND('4. Quarterly'!AA33="Yes",'4. Quarterly'!Y33="Yes",'4. Quarterly'!Z33="Yes",ISNUMBER(M33),M33&gt;='10. Thresholds'!$B$7,ISNUMBER(L33),L33&lt;='10. Thresholds'!$B$8),5,IF(AND('4. Quarterly'!Y33="Yes",'4. Quarterly'!Z33="Yes",ISNUMBER(M33),M33&gt;='10. Thresholds'!$B$6),4,3)))))</f>
        <v/>
      </c>
      <c r="R33" s="24">
        <f>IF($A33="","",IF(AND('4. Quarterly'!C33="Yes",'4. Quarterly'!D33="Yes",'4. Quarterly'!E33="Yes",'4. Quarterly'!F33="Yes",'4. Quarterly'!G33="Yes",'4. Quarterly'!H33="Yes",'4. Quarterly'!I33="Yes",'4. Quarterly'!J33="Yes"),5,IF(AND('4. Quarterly'!C33="Yes",'4. Quarterly'!D33="Yes",'4. Quarterly'!E33="Yes",'4. Quarterly'!F33="Yes",'4. Quarterly'!G33="Yes"),4,IF(AND('4. Quarterly'!C33="Yes",'4. Quarterly'!D33="Yes",'4. Quarterly'!E33="Yes"),3,IF(COUNTIF('4. Quarterly'!C33:J33,"Yes")&gt;=2,2,1)))))</f>
        <v/>
      </c>
      <c r="S33" s="24">
        <f>IF($A33="","",MIN(R33,P33,ROUND(AVERAGE(N33,O33,P33,Q33,R33),0)))</f>
        <v/>
      </c>
      <c r="T33" s="4">
        <f>IF($A33="","",$A33&amp;"|"&amp;$B33)</f>
        <v/>
      </c>
      <c r="U33" s="4">
        <f>IF($A33="","No",IF(COUNTIFS('3. Monthly'!$A$4:$A$203,$A33,'3. Monthly'!$C$4:$C$203,$B33,'3. Monthly'!$E$4:$E$203,"&gt;0")&gt;0,"Yes","No"))</f>
        <v/>
      </c>
      <c r="V33" s="4">
        <f>IF($A33="","No",IF(COUNTIFS('3. Monthly'!$A$4:$A$203,$A33,'3. Monthly'!$C$4:$C$203,$B33,'3. Monthly'!$I$4:$I$203,"&gt;0")&gt;0,"Yes","No"))</f>
        <v/>
      </c>
      <c r="W33" s="4">
        <f>IF($A33="","No",IF(COUNTIFS('3. Monthly'!$A$4:$A$203,$A33,'3. Monthly'!$C$4:$C$203,$B33,'3. Monthly'!$K$4:$K$203,"&gt;=0",'3. Monthly'!$L$4:$L$203,"&gt;0")&gt;0,"Yes","No"))</f>
        <v/>
      </c>
      <c r="X33" s="4">
        <f>IF($A33="","No",IF(COUNTIFS('3. Monthly'!$A$4:$A$203,$A33,'3. Monthly'!$C$4:$C$203,$B33,'3. Monthly'!$J$4:$J$203,"&gt;=0",'3. Monthly'!$K$4:$K$203,"&gt;=0",'3. Monthly'!$M$4:$M$203,"&gt;=0",'3. Monthly'!$N$4:$N$203,"&gt;=0",'3. Monthly'!$L$4:$L$203,"&gt;0")&gt;0,"Yes","No"))</f>
        <v/>
      </c>
      <c r="Y33" s="4">
        <f>IF($A33="","No",IF(COUNTIFS('3. Monthly'!$A$4:$A$203,$A33,'3. Monthly'!$C$4:$C$203,$B33,'3. Monthly'!$O$4:$O$203,"&gt;0")&gt;0,"Yes","No"))</f>
        <v/>
      </c>
      <c r="Z33" s="4">
        <f>IF($A33="","No",IF(COUNTIFS('3. Monthly'!$A$4:$A$203,$A33,'3. Monthly'!$C$4:$C$203,$B33,'3. Monthly'!$Q$4:$Q$203,"&gt;=0",'3. Monthly'!$G$4:$G$203,"&gt;0")&gt;0,"Yes","No"))</f>
        <v/>
      </c>
      <c r="AA33" s="4">
        <f>IF($A33="","No",IF(COUNTIFS('3. Monthly'!$A$4:$A$203,$A33,'3. Monthly'!$C$4:$C$203,$B33,'3. Monthly'!$H$4:$H$203,"&gt;0")&gt;0,"Yes","No"))</f>
        <v/>
      </c>
      <c r="AB33" s="4">
        <f>IF($A33="","No",IF(COUNTIFS('3. Monthly'!$A$4:$A$203,$A33,'3. Monthly'!$C$4:$C$203,$B33,'3. Monthly'!$U$4:$U$203,"&gt;=0",'3. Monthly'!$V$4:$V$203,"&gt;=0",'3. Monthly'!$H$4:$H$203,"&gt;0")&gt;0,"Yes","No"))</f>
        <v/>
      </c>
    </row>
    <row r="34">
      <c r="A34" s="4">
        <f>'4. Quarterly'!A34</f>
        <v/>
      </c>
      <c r="B34" s="4">
        <f>'4. Quarterly'!B34</f>
        <v/>
      </c>
      <c r="C34" s="4">
        <f>IFERROR(VLOOKUP($A34,'2. Projects'!$A$3:$B$20,2,0),"")</f>
        <v/>
      </c>
      <c r="D34" s="21">
        <f>IF($A34="","",IFERROR(AVERAGEIFS('5. Metrics'!$D$4:$D$203,'5. Metrics'!$A$4:$A$203,$A34,'5. Metrics'!$C$4:$C$203,$B34),""))</f>
        <v/>
      </c>
      <c r="E34" s="21">
        <f>IF($A34="","",IFERROR(AVERAGEIFS('5. Metrics'!$E$4:$E$203,'5. Metrics'!$A$4:$A$203,$A34,'5. Metrics'!$C$4:$C$203,$B34),""))</f>
        <v/>
      </c>
      <c r="F34" s="21">
        <f>IF($A34="","",IFERROR(AVERAGEIFS('5. Metrics'!$F$4:$F$203,'5. Metrics'!$A$4:$A$203,$A34,'5. Metrics'!$C$4:$C$203,$B34),""))</f>
        <v/>
      </c>
      <c r="G34" s="21">
        <f>IF($A34="","",IFERROR(AVERAGEIFS('5. Metrics'!$I$4:$I$203,'5. Metrics'!$A$4:$A$203,$A34,'5. Metrics'!$C$4:$C$203,$B34),""))</f>
        <v/>
      </c>
      <c r="H34" s="21">
        <f>IF($A34="","",IFERROR(AVERAGEIFS('5. Metrics'!$L$4:$L$203,'5. Metrics'!$A$4:$A$203,$A34,'5. Metrics'!$C$4:$C$203,$B34),""))</f>
        <v/>
      </c>
      <c r="I34" s="21">
        <f>IF($A34="","",IFERROR(AVERAGEIFS('5. Metrics'!$M$4:$M$203,'5. Metrics'!$A$4:$A$203,$A34,'5. Metrics'!$C$4:$C$203,$B34),""))</f>
        <v/>
      </c>
      <c r="J34" s="21">
        <f>IF($A34="","",IFERROR(AVERAGEIFS('5. Metrics'!$N$4:$N$203,'5. Metrics'!$A$4:$A$203,$A34,'5. Metrics'!$C$4:$C$203,$B34),""))</f>
        <v/>
      </c>
      <c r="K34" s="21">
        <f>IF($A34="","",IFERROR(AVERAGEIFS('5. Metrics'!$P$4:$P$203,'5. Metrics'!$A$4:$A$203,$A34,'5. Metrics'!$C$4:$C$203,$B34),""))</f>
        <v/>
      </c>
      <c r="L34" s="21">
        <f>IF($A34="","",IFERROR(AVERAGEIFS('5. Metrics'!$Q$4:$Q$203,'5. Metrics'!$A$4:$A$203,$A34,'5. Metrics'!$C$4:$C$203,$B34),""))</f>
        <v/>
      </c>
      <c r="M34" s="21">
        <f>IF($A34="","",IFERROR(AVERAGEIFS('5. Metrics'!$R$4:$R$203,'5. Metrics'!$A$4:$A$203,$A34,'5. Metrics'!$C$4:$C$203,$B34),""))</f>
        <v/>
      </c>
      <c r="N34" s="24">
        <f>IF($A34="","",IF('4. Quarterly'!L34="Yes",5,IF(AND(ISNUMBER(E34),E34&gt;'10. Thresholds'!$B$4,V34="Yes"),4,IF(AND('4. Quarterly'!K34="Yes",ISNUMBER(E34),E34&gt;='10. Thresholds'!$B$3),3,IF(AND(U34="Yes",ISNUMBER(D34),D34&gt;='10. Thresholds'!$B$5),2,1)))))</f>
        <v/>
      </c>
      <c r="O34" s="24">
        <f>IF($A34="","",IF(AND('4. Quarterly'!P34="Yes",'4. Quarterly'!Q34="Yes",'4. Quarterly'!M34="Yes",'4. Quarterly'!N34="Yes",'4. Quarterly'!O34="Yes",X34="Yes",Y34="Yes"),5,IF(AND('4. Quarterly'!M34="Yes",'4. Quarterly'!N34="Yes",'4. Quarterly'!O34="Yes",X34="Yes",Y34="Yes"),4,IF(AND(X34="Yes",Y34="Yes"),3,IF(W34="Yes",2,1)))))</f>
        <v/>
      </c>
      <c r="P34" s="24">
        <f>IF($A34="","",IF(AND('4. Quarterly'!V34="Yes",'4. Quarterly'!W34="Yes",'4. Quarterly'!X34="Yes",'4. Quarterly'!S34="Yes",'4. Quarterly'!T34="Yes",'4. Quarterly'!U34="Yes",'4. Quarterly'!E34="Yes",Z34="Yes",'4. Quarterly'!R34="Yes"),5,IF(AND('4. Quarterly'!S34="Yes",'4. Quarterly'!T34="Yes",'4. Quarterly'!U34="Yes",'4. Quarterly'!E34="Yes",Z34="Yes",'4. Quarterly'!R34="Yes"),4,IF(AND('4. Quarterly'!E34="Yes",Z34="Yes",'4. Quarterly'!R34="Yes"),3,IF(OR(Z34="Yes",'4. Quarterly'!R34="Yes",'4. Quarterly'!E34="Yes"),2,1)))))</f>
        <v/>
      </c>
      <c r="Q34" s="24">
        <f>IF($A34="","",IF(AA34&lt;&gt;"Yes",1,IF(AB34&lt;&gt;"Yes",2,IF(AND('4. Quarterly'!AA34="Yes",'4. Quarterly'!Y34="Yes",'4. Quarterly'!Z34="Yes",ISNUMBER(M34),M34&gt;='10. Thresholds'!$B$7,ISNUMBER(L34),L34&lt;='10. Thresholds'!$B$8),5,IF(AND('4. Quarterly'!Y34="Yes",'4. Quarterly'!Z34="Yes",ISNUMBER(M34),M34&gt;='10. Thresholds'!$B$6),4,3)))))</f>
        <v/>
      </c>
      <c r="R34" s="24">
        <f>IF($A34="","",IF(AND('4. Quarterly'!C34="Yes",'4. Quarterly'!D34="Yes",'4. Quarterly'!E34="Yes",'4. Quarterly'!F34="Yes",'4. Quarterly'!G34="Yes",'4. Quarterly'!H34="Yes",'4. Quarterly'!I34="Yes",'4. Quarterly'!J34="Yes"),5,IF(AND('4. Quarterly'!C34="Yes",'4. Quarterly'!D34="Yes",'4. Quarterly'!E34="Yes",'4. Quarterly'!F34="Yes",'4. Quarterly'!G34="Yes"),4,IF(AND('4. Quarterly'!C34="Yes",'4. Quarterly'!D34="Yes",'4. Quarterly'!E34="Yes"),3,IF(COUNTIF('4. Quarterly'!C34:J34,"Yes")&gt;=2,2,1)))))</f>
        <v/>
      </c>
      <c r="S34" s="24">
        <f>IF($A34="","",MIN(R34,P34,ROUND(AVERAGE(N34,O34,P34,Q34,R34),0)))</f>
        <v/>
      </c>
      <c r="T34" s="4">
        <f>IF($A34="","",$A34&amp;"|"&amp;$B34)</f>
        <v/>
      </c>
      <c r="U34" s="4">
        <f>IF($A34="","No",IF(COUNTIFS('3. Monthly'!$A$4:$A$203,$A34,'3. Monthly'!$C$4:$C$203,$B34,'3. Monthly'!$E$4:$E$203,"&gt;0")&gt;0,"Yes","No"))</f>
        <v/>
      </c>
      <c r="V34" s="4">
        <f>IF($A34="","No",IF(COUNTIFS('3. Monthly'!$A$4:$A$203,$A34,'3. Monthly'!$C$4:$C$203,$B34,'3. Monthly'!$I$4:$I$203,"&gt;0")&gt;0,"Yes","No"))</f>
        <v/>
      </c>
      <c r="W34" s="4">
        <f>IF($A34="","No",IF(COUNTIFS('3. Monthly'!$A$4:$A$203,$A34,'3. Monthly'!$C$4:$C$203,$B34,'3. Monthly'!$K$4:$K$203,"&gt;=0",'3. Monthly'!$L$4:$L$203,"&gt;0")&gt;0,"Yes","No"))</f>
        <v/>
      </c>
      <c r="X34" s="4">
        <f>IF($A34="","No",IF(COUNTIFS('3. Monthly'!$A$4:$A$203,$A34,'3. Monthly'!$C$4:$C$203,$B34,'3. Monthly'!$J$4:$J$203,"&gt;=0",'3. Monthly'!$K$4:$K$203,"&gt;=0",'3. Monthly'!$M$4:$M$203,"&gt;=0",'3. Monthly'!$N$4:$N$203,"&gt;=0",'3. Monthly'!$L$4:$L$203,"&gt;0")&gt;0,"Yes","No"))</f>
        <v/>
      </c>
      <c r="Y34" s="4">
        <f>IF($A34="","No",IF(COUNTIFS('3. Monthly'!$A$4:$A$203,$A34,'3. Monthly'!$C$4:$C$203,$B34,'3. Monthly'!$O$4:$O$203,"&gt;0")&gt;0,"Yes","No"))</f>
        <v/>
      </c>
      <c r="Z34" s="4">
        <f>IF($A34="","No",IF(COUNTIFS('3. Monthly'!$A$4:$A$203,$A34,'3. Monthly'!$C$4:$C$203,$B34,'3. Monthly'!$Q$4:$Q$203,"&gt;=0",'3. Monthly'!$G$4:$G$203,"&gt;0")&gt;0,"Yes","No"))</f>
        <v/>
      </c>
      <c r="AA34" s="4">
        <f>IF($A34="","No",IF(COUNTIFS('3. Monthly'!$A$4:$A$203,$A34,'3. Monthly'!$C$4:$C$203,$B34,'3. Monthly'!$H$4:$H$203,"&gt;0")&gt;0,"Yes","No"))</f>
        <v/>
      </c>
      <c r="AB34" s="4">
        <f>IF($A34="","No",IF(COUNTIFS('3. Monthly'!$A$4:$A$203,$A34,'3. Monthly'!$C$4:$C$203,$B34,'3. Monthly'!$U$4:$U$203,"&gt;=0",'3. Monthly'!$V$4:$V$203,"&gt;=0",'3. Monthly'!$H$4:$H$203,"&gt;0")&gt;0,"Yes","No"))</f>
        <v/>
      </c>
    </row>
    <row r="35">
      <c r="A35" s="4">
        <f>'4. Quarterly'!A35</f>
        <v/>
      </c>
      <c r="B35" s="4">
        <f>'4. Quarterly'!B35</f>
        <v/>
      </c>
      <c r="C35" s="4">
        <f>IFERROR(VLOOKUP($A35,'2. Projects'!$A$3:$B$20,2,0),"")</f>
        <v/>
      </c>
      <c r="D35" s="21">
        <f>IF($A35="","",IFERROR(AVERAGEIFS('5. Metrics'!$D$4:$D$203,'5. Metrics'!$A$4:$A$203,$A35,'5. Metrics'!$C$4:$C$203,$B35),""))</f>
        <v/>
      </c>
      <c r="E35" s="21">
        <f>IF($A35="","",IFERROR(AVERAGEIFS('5. Metrics'!$E$4:$E$203,'5. Metrics'!$A$4:$A$203,$A35,'5. Metrics'!$C$4:$C$203,$B35),""))</f>
        <v/>
      </c>
      <c r="F35" s="21">
        <f>IF($A35="","",IFERROR(AVERAGEIFS('5. Metrics'!$F$4:$F$203,'5. Metrics'!$A$4:$A$203,$A35,'5. Metrics'!$C$4:$C$203,$B35),""))</f>
        <v/>
      </c>
      <c r="G35" s="21">
        <f>IF($A35="","",IFERROR(AVERAGEIFS('5. Metrics'!$I$4:$I$203,'5. Metrics'!$A$4:$A$203,$A35,'5. Metrics'!$C$4:$C$203,$B35),""))</f>
        <v/>
      </c>
      <c r="H35" s="21">
        <f>IF($A35="","",IFERROR(AVERAGEIFS('5. Metrics'!$L$4:$L$203,'5. Metrics'!$A$4:$A$203,$A35,'5. Metrics'!$C$4:$C$203,$B35),""))</f>
        <v/>
      </c>
      <c r="I35" s="21">
        <f>IF($A35="","",IFERROR(AVERAGEIFS('5. Metrics'!$M$4:$M$203,'5. Metrics'!$A$4:$A$203,$A35,'5. Metrics'!$C$4:$C$203,$B35),""))</f>
        <v/>
      </c>
      <c r="J35" s="21">
        <f>IF($A35="","",IFERROR(AVERAGEIFS('5. Metrics'!$N$4:$N$203,'5. Metrics'!$A$4:$A$203,$A35,'5. Metrics'!$C$4:$C$203,$B35),""))</f>
        <v/>
      </c>
      <c r="K35" s="21">
        <f>IF($A35="","",IFERROR(AVERAGEIFS('5. Metrics'!$P$4:$P$203,'5. Metrics'!$A$4:$A$203,$A35,'5. Metrics'!$C$4:$C$203,$B35),""))</f>
        <v/>
      </c>
      <c r="L35" s="21">
        <f>IF($A35="","",IFERROR(AVERAGEIFS('5. Metrics'!$Q$4:$Q$203,'5. Metrics'!$A$4:$A$203,$A35,'5. Metrics'!$C$4:$C$203,$B35),""))</f>
        <v/>
      </c>
      <c r="M35" s="21">
        <f>IF($A35="","",IFERROR(AVERAGEIFS('5. Metrics'!$R$4:$R$203,'5. Metrics'!$A$4:$A$203,$A35,'5. Metrics'!$C$4:$C$203,$B35),""))</f>
        <v/>
      </c>
      <c r="N35" s="24">
        <f>IF($A35="","",IF('4. Quarterly'!L35="Yes",5,IF(AND(ISNUMBER(E35),E35&gt;'10. Thresholds'!$B$4,V35="Yes"),4,IF(AND('4. Quarterly'!K35="Yes",ISNUMBER(E35),E35&gt;='10. Thresholds'!$B$3),3,IF(AND(U35="Yes",ISNUMBER(D35),D35&gt;='10. Thresholds'!$B$5),2,1)))))</f>
        <v/>
      </c>
      <c r="O35" s="24">
        <f>IF($A35="","",IF(AND('4. Quarterly'!P35="Yes",'4. Quarterly'!Q35="Yes",'4. Quarterly'!M35="Yes",'4. Quarterly'!N35="Yes",'4. Quarterly'!O35="Yes",X35="Yes",Y35="Yes"),5,IF(AND('4. Quarterly'!M35="Yes",'4. Quarterly'!N35="Yes",'4. Quarterly'!O35="Yes",X35="Yes",Y35="Yes"),4,IF(AND(X35="Yes",Y35="Yes"),3,IF(W35="Yes",2,1)))))</f>
        <v/>
      </c>
      <c r="P35" s="24">
        <f>IF($A35="","",IF(AND('4. Quarterly'!V35="Yes",'4. Quarterly'!W35="Yes",'4. Quarterly'!X35="Yes",'4. Quarterly'!S35="Yes",'4. Quarterly'!T35="Yes",'4. Quarterly'!U35="Yes",'4. Quarterly'!E35="Yes",Z35="Yes",'4. Quarterly'!R35="Yes"),5,IF(AND('4. Quarterly'!S35="Yes",'4. Quarterly'!T35="Yes",'4. Quarterly'!U35="Yes",'4. Quarterly'!E35="Yes",Z35="Yes",'4. Quarterly'!R35="Yes"),4,IF(AND('4. Quarterly'!E35="Yes",Z35="Yes",'4. Quarterly'!R35="Yes"),3,IF(OR(Z35="Yes",'4. Quarterly'!R35="Yes",'4. Quarterly'!E35="Yes"),2,1)))))</f>
        <v/>
      </c>
      <c r="Q35" s="24">
        <f>IF($A35="","",IF(AA35&lt;&gt;"Yes",1,IF(AB35&lt;&gt;"Yes",2,IF(AND('4. Quarterly'!AA35="Yes",'4. Quarterly'!Y35="Yes",'4. Quarterly'!Z35="Yes",ISNUMBER(M35),M35&gt;='10. Thresholds'!$B$7,ISNUMBER(L35),L35&lt;='10. Thresholds'!$B$8),5,IF(AND('4. Quarterly'!Y35="Yes",'4. Quarterly'!Z35="Yes",ISNUMBER(M35),M35&gt;='10. Thresholds'!$B$6),4,3)))))</f>
        <v/>
      </c>
      <c r="R35" s="24">
        <f>IF($A35="","",IF(AND('4. Quarterly'!C35="Yes",'4. Quarterly'!D35="Yes",'4. Quarterly'!E35="Yes",'4. Quarterly'!F35="Yes",'4. Quarterly'!G35="Yes",'4. Quarterly'!H35="Yes",'4. Quarterly'!I35="Yes",'4. Quarterly'!J35="Yes"),5,IF(AND('4. Quarterly'!C35="Yes",'4. Quarterly'!D35="Yes",'4. Quarterly'!E35="Yes",'4. Quarterly'!F35="Yes",'4. Quarterly'!G35="Yes"),4,IF(AND('4. Quarterly'!C35="Yes",'4. Quarterly'!D35="Yes",'4. Quarterly'!E35="Yes"),3,IF(COUNTIF('4. Quarterly'!C35:J35,"Yes")&gt;=2,2,1)))))</f>
        <v/>
      </c>
      <c r="S35" s="24">
        <f>IF($A35="","",MIN(R35,P35,ROUND(AVERAGE(N35,O35,P35,Q35,R35),0)))</f>
        <v/>
      </c>
      <c r="T35" s="4">
        <f>IF($A35="","",$A35&amp;"|"&amp;$B35)</f>
        <v/>
      </c>
      <c r="U35" s="4">
        <f>IF($A35="","No",IF(COUNTIFS('3. Monthly'!$A$4:$A$203,$A35,'3. Monthly'!$C$4:$C$203,$B35,'3. Monthly'!$E$4:$E$203,"&gt;0")&gt;0,"Yes","No"))</f>
        <v/>
      </c>
      <c r="V35" s="4">
        <f>IF($A35="","No",IF(COUNTIFS('3. Monthly'!$A$4:$A$203,$A35,'3. Monthly'!$C$4:$C$203,$B35,'3. Monthly'!$I$4:$I$203,"&gt;0")&gt;0,"Yes","No"))</f>
        <v/>
      </c>
      <c r="W35" s="4">
        <f>IF($A35="","No",IF(COUNTIFS('3. Monthly'!$A$4:$A$203,$A35,'3. Monthly'!$C$4:$C$203,$B35,'3. Monthly'!$K$4:$K$203,"&gt;=0",'3. Monthly'!$L$4:$L$203,"&gt;0")&gt;0,"Yes","No"))</f>
        <v/>
      </c>
      <c r="X35" s="4">
        <f>IF($A35="","No",IF(COUNTIFS('3. Monthly'!$A$4:$A$203,$A35,'3. Monthly'!$C$4:$C$203,$B35,'3. Monthly'!$J$4:$J$203,"&gt;=0",'3. Monthly'!$K$4:$K$203,"&gt;=0",'3. Monthly'!$M$4:$M$203,"&gt;=0",'3. Monthly'!$N$4:$N$203,"&gt;=0",'3. Monthly'!$L$4:$L$203,"&gt;0")&gt;0,"Yes","No"))</f>
        <v/>
      </c>
      <c r="Y35" s="4">
        <f>IF($A35="","No",IF(COUNTIFS('3. Monthly'!$A$4:$A$203,$A35,'3. Monthly'!$C$4:$C$203,$B35,'3. Monthly'!$O$4:$O$203,"&gt;0")&gt;0,"Yes","No"))</f>
        <v/>
      </c>
      <c r="Z35" s="4">
        <f>IF($A35="","No",IF(COUNTIFS('3. Monthly'!$A$4:$A$203,$A35,'3. Monthly'!$C$4:$C$203,$B35,'3. Monthly'!$Q$4:$Q$203,"&gt;=0",'3. Monthly'!$G$4:$G$203,"&gt;0")&gt;0,"Yes","No"))</f>
        <v/>
      </c>
      <c r="AA35" s="4">
        <f>IF($A35="","No",IF(COUNTIFS('3. Monthly'!$A$4:$A$203,$A35,'3. Monthly'!$C$4:$C$203,$B35,'3. Monthly'!$H$4:$H$203,"&gt;0")&gt;0,"Yes","No"))</f>
        <v/>
      </c>
      <c r="AB35" s="4">
        <f>IF($A35="","No",IF(COUNTIFS('3. Monthly'!$A$4:$A$203,$A35,'3. Monthly'!$C$4:$C$203,$B35,'3. Monthly'!$U$4:$U$203,"&gt;=0",'3. Monthly'!$V$4:$V$203,"&gt;=0",'3. Monthly'!$H$4:$H$203,"&gt;0")&gt;0,"Yes","No"))</f>
        <v/>
      </c>
    </row>
    <row r="36">
      <c r="A36" s="4">
        <f>'4. Quarterly'!A36</f>
        <v/>
      </c>
      <c r="B36" s="4">
        <f>'4. Quarterly'!B36</f>
        <v/>
      </c>
      <c r="C36" s="4">
        <f>IFERROR(VLOOKUP($A36,'2. Projects'!$A$3:$B$20,2,0),"")</f>
        <v/>
      </c>
      <c r="D36" s="21">
        <f>IF($A36="","",IFERROR(AVERAGEIFS('5. Metrics'!$D$4:$D$203,'5. Metrics'!$A$4:$A$203,$A36,'5. Metrics'!$C$4:$C$203,$B36),""))</f>
        <v/>
      </c>
      <c r="E36" s="21">
        <f>IF($A36="","",IFERROR(AVERAGEIFS('5. Metrics'!$E$4:$E$203,'5. Metrics'!$A$4:$A$203,$A36,'5. Metrics'!$C$4:$C$203,$B36),""))</f>
        <v/>
      </c>
      <c r="F36" s="21">
        <f>IF($A36="","",IFERROR(AVERAGEIFS('5. Metrics'!$F$4:$F$203,'5. Metrics'!$A$4:$A$203,$A36,'5. Metrics'!$C$4:$C$203,$B36),""))</f>
        <v/>
      </c>
      <c r="G36" s="21">
        <f>IF($A36="","",IFERROR(AVERAGEIFS('5. Metrics'!$I$4:$I$203,'5. Metrics'!$A$4:$A$203,$A36,'5. Metrics'!$C$4:$C$203,$B36),""))</f>
        <v/>
      </c>
      <c r="H36" s="21">
        <f>IF($A36="","",IFERROR(AVERAGEIFS('5. Metrics'!$L$4:$L$203,'5. Metrics'!$A$4:$A$203,$A36,'5. Metrics'!$C$4:$C$203,$B36),""))</f>
        <v/>
      </c>
      <c r="I36" s="21">
        <f>IF($A36="","",IFERROR(AVERAGEIFS('5. Metrics'!$M$4:$M$203,'5. Metrics'!$A$4:$A$203,$A36,'5. Metrics'!$C$4:$C$203,$B36),""))</f>
        <v/>
      </c>
      <c r="J36" s="21">
        <f>IF($A36="","",IFERROR(AVERAGEIFS('5. Metrics'!$N$4:$N$203,'5. Metrics'!$A$4:$A$203,$A36,'5. Metrics'!$C$4:$C$203,$B36),""))</f>
        <v/>
      </c>
      <c r="K36" s="21">
        <f>IF($A36="","",IFERROR(AVERAGEIFS('5. Metrics'!$P$4:$P$203,'5. Metrics'!$A$4:$A$203,$A36,'5. Metrics'!$C$4:$C$203,$B36),""))</f>
        <v/>
      </c>
      <c r="L36" s="21">
        <f>IF($A36="","",IFERROR(AVERAGEIFS('5. Metrics'!$Q$4:$Q$203,'5. Metrics'!$A$4:$A$203,$A36,'5. Metrics'!$C$4:$C$203,$B36),""))</f>
        <v/>
      </c>
      <c r="M36" s="21">
        <f>IF($A36="","",IFERROR(AVERAGEIFS('5. Metrics'!$R$4:$R$203,'5. Metrics'!$A$4:$A$203,$A36,'5. Metrics'!$C$4:$C$203,$B36),""))</f>
        <v/>
      </c>
      <c r="N36" s="24">
        <f>IF($A36="","",IF('4. Quarterly'!L36="Yes",5,IF(AND(ISNUMBER(E36),E36&gt;'10. Thresholds'!$B$4,V36="Yes"),4,IF(AND('4. Quarterly'!K36="Yes",ISNUMBER(E36),E36&gt;='10. Thresholds'!$B$3),3,IF(AND(U36="Yes",ISNUMBER(D36),D36&gt;='10. Thresholds'!$B$5),2,1)))))</f>
        <v/>
      </c>
      <c r="O36" s="24">
        <f>IF($A36="","",IF(AND('4. Quarterly'!P36="Yes",'4. Quarterly'!Q36="Yes",'4. Quarterly'!M36="Yes",'4. Quarterly'!N36="Yes",'4. Quarterly'!O36="Yes",X36="Yes",Y36="Yes"),5,IF(AND('4. Quarterly'!M36="Yes",'4. Quarterly'!N36="Yes",'4. Quarterly'!O36="Yes",X36="Yes",Y36="Yes"),4,IF(AND(X36="Yes",Y36="Yes"),3,IF(W36="Yes",2,1)))))</f>
        <v/>
      </c>
      <c r="P36" s="24">
        <f>IF($A36="","",IF(AND('4. Quarterly'!V36="Yes",'4. Quarterly'!W36="Yes",'4. Quarterly'!X36="Yes",'4. Quarterly'!S36="Yes",'4. Quarterly'!T36="Yes",'4. Quarterly'!U36="Yes",'4. Quarterly'!E36="Yes",Z36="Yes",'4. Quarterly'!R36="Yes"),5,IF(AND('4. Quarterly'!S36="Yes",'4. Quarterly'!T36="Yes",'4. Quarterly'!U36="Yes",'4. Quarterly'!E36="Yes",Z36="Yes",'4. Quarterly'!R36="Yes"),4,IF(AND('4. Quarterly'!E36="Yes",Z36="Yes",'4. Quarterly'!R36="Yes"),3,IF(OR(Z36="Yes",'4. Quarterly'!R36="Yes",'4. Quarterly'!E36="Yes"),2,1)))))</f>
        <v/>
      </c>
      <c r="Q36" s="24">
        <f>IF($A36="","",IF(AA36&lt;&gt;"Yes",1,IF(AB36&lt;&gt;"Yes",2,IF(AND('4. Quarterly'!AA36="Yes",'4. Quarterly'!Y36="Yes",'4. Quarterly'!Z36="Yes",ISNUMBER(M36),M36&gt;='10. Thresholds'!$B$7,ISNUMBER(L36),L36&lt;='10. Thresholds'!$B$8),5,IF(AND('4. Quarterly'!Y36="Yes",'4. Quarterly'!Z36="Yes",ISNUMBER(M36),M36&gt;='10. Thresholds'!$B$6),4,3)))))</f>
        <v/>
      </c>
      <c r="R36" s="24">
        <f>IF($A36="","",IF(AND('4. Quarterly'!C36="Yes",'4. Quarterly'!D36="Yes",'4. Quarterly'!E36="Yes",'4. Quarterly'!F36="Yes",'4. Quarterly'!G36="Yes",'4. Quarterly'!H36="Yes",'4. Quarterly'!I36="Yes",'4. Quarterly'!J36="Yes"),5,IF(AND('4. Quarterly'!C36="Yes",'4. Quarterly'!D36="Yes",'4. Quarterly'!E36="Yes",'4. Quarterly'!F36="Yes",'4. Quarterly'!G36="Yes"),4,IF(AND('4. Quarterly'!C36="Yes",'4. Quarterly'!D36="Yes",'4. Quarterly'!E36="Yes"),3,IF(COUNTIF('4. Quarterly'!C36:J36,"Yes")&gt;=2,2,1)))))</f>
        <v/>
      </c>
      <c r="S36" s="24">
        <f>IF($A36="","",MIN(R36,P36,ROUND(AVERAGE(N36,O36,P36,Q36,R36),0)))</f>
        <v/>
      </c>
      <c r="T36" s="4">
        <f>IF($A36="","",$A36&amp;"|"&amp;$B36)</f>
        <v/>
      </c>
      <c r="U36" s="4">
        <f>IF($A36="","No",IF(COUNTIFS('3. Monthly'!$A$4:$A$203,$A36,'3. Monthly'!$C$4:$C$203,$B36,'3. Monthly'!$E$4:$E$203,"&gt;0")&gt;0,"Yes","No"))</f>
        <v/>
      </c>
      <c r="V36" s="4">
        <f>IF($A36="","No",IF(COUNTIFS('3. Monthly'!$A$4:$A$203,$A36,'3. Monthly'!$C$4:$C$203,$B36,'3. Monthly'!$I$4:$I$203,"&gt;0")&gt;0,"Yes","No"))</f>
        <v/>
      </c>
      <c r="W36" s="4">
        <f>IF($A36="","No",IF(COUNTIFS('3. Monthly'!$A$4:$A$203,$A36,'3. Monthly'!$C$4:$C$203,$B36,'3. Monthly'!$K$4:$K$203,"&gt;=0",'3. Monthly'!$L$4:$L$203,"&gt;0")&gt;0,"Yes","No"))</f>
        <v/>
      </c>
      <c r="X36" s="4">
        <f>IF($A36="","No",IF(COUNTIFS('3. Monthly'!$A$4:$A$203,$A36,'3. Monthly'!$C$4:$C$203,$B36,'3. Monthly'!$J$4:$J$203,"&gt;=0",'3. Monthly'!$K$4:$K$203,"&gt;=0",'3. Monthly'!$M$4:$M$203,"&gt;=0",'3. Monthly'!$N$4:$N$203,"&gt;=0",'3. Monthly'!$L$4:$L$203,"&gt;0")&gt;0,"Yes","No"))</f>
        <v/>
      </c>
      <c r="Y36" s="4">
        <f>IF($A36="","No",IF(COUNTIFS('3. Monthly'!$A$4:$A$203,$A36,'3. Monthly'!$C$4:$C$203,$B36,'3. Monthly'!$O$4:$O$203,"&gt;0")&gt;0,"Yes","No"))</f>
        <v/>
      </c>
      <c r="Z36" s="4">
        <f>IF($A36="","No",IF(COUNTIFS('3. Monthly'!$A$4:$A$203,$A36,'3. Monthly'!$C$4:$C$203,$B36,'3. Monthly'!$Q$4:$Q$203,"&gt;=0",'3. Monthly'!$G$4:$G$203,"&gt;0")&gt;0,"Yes","No"))</f>
        <v/>
      </c>
      <c r="AA36" s="4">
        <f>IF($A36="","No",IF(COUNTIFS('3. Monthly'!$A$4:$A$203,$A36,'3. Monthly'!$C$4:$C$203,$B36,'3. Monthly'!$H$4:$H$203,"&gt;0")&gt;0,"Yes","No"))</f>
        <v/>
      </c>
      <c r="AB36" s="4">
        <f>IF($A36="","No",IF(COUNTIFS('3. Monthly'!$A$4:$A$203,$A36,'3. Monthly'!$C$4:$C$203,$B36,'3. Monthly'!$U$4:$U$203,"&gt;=0",'3. Monthly'!$V$4:$V$203,"&gt;=0",'3. Monthly'!$H$4:$H$203,"&gt;0")&gt;0,"Yes","No"))</f>
        <v/>
      </c>
    </row>
    <row r="37">
      <c r="A37" s="4">
        <f>'4. Quarterly'!A37</f>
        <v/>
      </c>
      <c r="B37" s="4">
        <f>'4. Quarterly'!B37</f>
        <v/>
      </c>
      <c r="C37" s="4">
        <f>IFERROR(VLOOKUP($A37,'2. Projects'!$A$3:$B$20,2,0),"")</f>
        <v/>
      </c>
      <c r="D37" s="21">
        <f>IF($A37="","",IFERROR(AVERAGEIFS('5. Metrics'!$D$4:$D$203,'5. Metrics'!$A$4:$A$203,$A37,'5. Metrics'!$C$4:$C$203,$B37),""))</f>
        <v/>
      </c>
      <c r="E37" s="21">
        <f>IF($A37="","",IFERROR(AVERAGEIFS('5. Metrics'!$E$4:$E$203,'5. Metrics'!$A$4:$A$203,$A37,'5. Metrics'!$C$4:$C$203,$B37),""))</f>
        <v/>
      </c>
      <c r="F37" s="21">
        <f>IF($A37="","",IFERROR(AVERAGEIFS('5. Metrics'!$F$4:$F$203,'5. Metrics'!$A$4:$A$203,$A37,'5. Metrics'!$C$4:$C$203,$B37),""))</f>
        <v/>
      </c>
      <c r="G37" s="21">
        <f>IF($A37="","",IFERROR(AVERAGEIFS('5. Metrics'!$I$4:$I$203,'5. Metrics'!$A$4:$A$203,$A37,'5. Metrics'!$C$4:$C$203,$B37),""))</f>
        <v/>
      </c>
      <c r="H37" s="21">
        <f>IF($A37="","",IFERROR(AVERAGEIFS('5. Metrics'!$L$4:$L$203,'5. Metrics'!$A$4:$A$203,$A37,'5. Metrics'!$C$4:$C$203,$B37),""))</f>
        <v/>
      </c>
      <c r="I37" s="21">
        <f>IF($A37="","",IFERROR(AVERAGEIFS('5. Metrics'!$M$4:$M$203,'5. Metrics'!$A$4:$A$203,$A37,'5. Metrics'!$C$4:$C$203,$B37),""))</f>
        <v/>
      </c>
      <c r="J37" s="21">
        <f>IF($A37="","",IFERROR(AVERAGEIFS('5. Metrics'!$N$4:$N$203,'5. Metrics'!$A$4:$A$203,$A37,'5. Metrics'!$C$4:$C$203,$B37),""))</f>
        <v/>
      </c>
      <c r="K37" s="21">
        <f>IF($A37="","",IFERROR(AVERAGEIFS('5. Metrics'!$P$4:$P$203,'5. Metrics'!$A$4:$A$203,$A37,'5. Metrics'!$C$4:$C$203,$B37),""))</f>
        <v/>
      </c>
      <c r="L37" s="21">
        <f>IF($A37="","",IFERROR(AVERAGEIFS('5. Metrics'!$Q$4:$Q$203,'5. Metrics'!$A$4:$A$203,$A37,'5. Metrics'!$C$4:$C$203,$B37),""))</f>
        <v/>
      </c>
      <c r="M37" s="21">
        <f>IF($A37="","",IFERROR(AVERAGEIFS('5. Metrics'!$R$4:$R$203,'5. Metrics'!$A$4:$A$203,$A37,'5. Metrics'!$C$4:$C$203,$B37),""))</f>
        <v/>
      </c>
      <c r="N37" s="24">
        <f>IF($A37="","",IF('4. Quarterly'!L37="Yes",5,IF(AND(ISNUMBER(E37),E37&gt;'10. Thresholds'!$B$4,V37="Yes"),4,IF(AND('4. Quarterly'!K37="Yes",ISNUMBER(E37),E37&gt;='10. Thresholds'!$B$3),3,IF(AND(U37="Yes",ISNUMBER(D37),D37&gt;='10. Thresholds'!$B$5),2,1)))))</f>
        <v/>
      </c>
      <c r="O37" s="24">
        <f>IF($A37="","",IF(AND('4. Quarterly'!P37="Yes",'4. Quarterly'!Q37="Yes",'4. Quarterly'!M37="Yes",'4. Quarterly'!N37="Yes",'4. Quarterly'!O37="Yes",X37="Yes",Y37="Yes"),5,IF(AND('4. Quarterly'!M37="Yes",'4. Quarterly'!N37="Yes",'4. Quarterly'!O37="Yes",X37="Yes",Y37="Yes"),4,IF(AND(X37="Yes",Y37="Yes"),3,IF(W37="Yes",2,1)))))</f>
        <v/>
      </c>
      <c r="P37" s="24">
        <f>IF($A37="","",IF(AND('4. Quarterly'!V37="Yes",'4. Quarterly'!W37="Yes",'4. Quarterly'!X37="Yes",'4. Quarterly'!S37="Yes",'4. Quarterly'!T37="Yes",'4. Quarterly'!U37="Yes",'4. Quarterly'!E37="Yes",Z37="Yes",'4. Quarterly'!R37="Yes"),5,IF(AND('4. Quarterly'!S37="Yes",'4. Quarterly'!T37="Yes",'4. Quarterly'!U37="Yes",'4. Quarterly'!E37="Yes",Z37="Yes",'4. Quarterly'!R37="Yes"),4,IF(AND('4. Quarterly'!E37="Yes",Z37="Yes",'4. Quarterly'!R37="Yes"),3,IF(OR(Z37="Yes",'4. Quarterly'!R37="Yes",'4. Quarterly'!E37="Yes"),2,1)))))</f>
        <v/>
      </c>
      <c r="Q37" s="24">
        <f>IF($A37="","",IF(AA37&lt;&gt;"Yes",1,IF(AB37&lt;&gt;"Yes",2,IF(AND('4. Quarterly'!AA37="Yes",'4. Quarterly'!Y37="Yes",'4. Quarterly'!Z37="Yes",ISNUMBER(M37),M37&gt;='10. Thresholds'!$B$7,ISNUMBER(L37),L37&lt;='10. Thresholds'!$B$8),5,IF(AND('4. Quarterly'!Y37="Yes",'4. Quarterly'!Z37="Yes",ISNUMBER(M37),M37&gt;='10. Thresholds'!$B$6),4,3)))))</f>
        <v/>
      </c>
      <c r="R37" s="24">
        <f>IF($A37="","",IF(AND('4. Quarterly'!C37="Yes",'4. Quarterly'!D37="Yes",'4. Quarterly'!E37="Yes",'4. Quarterly'!F37="Yes",'4. Quarterly'!G37="Yes",'4. Quarterly'!H37="Yes",'4. Quarterly'!I37="Yes",'4. Quarterly'!J37="Yes"),5,IF(AND('4. Quarterly'!C37="Yes",'4. Quarterly'!D37="Yes",'4. Quarterly'!E37="Yes",'4. Quarterly'!F37="Yes",'4. Quarterly'!G37="Yes"),4,IF(AND('4. Quarterly'!C37="Yes",'4. Quarterly'!D37="Yes",'4. Quarterly'!E37="Yes"),3,IF(COUNTIF('4. Quarterly'!C37:J37,"Yes")&gt;=2,2,1)))))</f>
        <v/>
      </c>
      <c r="S37" s="24">
        <f>IF($A37="","",MIN(R37,P37,ROUND(AVERAGE(N37,O37,P37,Q37,R37),0)))</f>
        <v/>
      </c>
      <c r="T37" s="4">
        <f>IF($A37="","",$A37&amp;"|"&amp;$B37)</f>
        <v/>
      </c>
      <c r="U37" s="4">
        <f>IF($A37="","No",IF(COUNTIFS('3. Monthly'!$A$4:$A$203,$A37,'3. Monthly'!$C$4:$C$203,$B37,'3. Monthly'!$E$4:$E$203,"&gt;0")&gt;0,"Yes","No"))</f>
        <v/>
      </c>
      <c r="V37" s="4">
        <f>IF($A37="","No",IF(COUNTIFS('3. Monthly'!$A$4:$A$203,$A37,'3. Monthly'!$C$4:$C$203,$B37,'3. Monthly'!$I$4:$I$203,"&gt;0")&gt;0,"Yes","No"))</f>
        <v/>
      </c>
      <c r="W37" s="4">
        <f>IF($A37="","No",IF(COUNTIFS('3. Monthly'!$A$4:$A$203,$A37,'3. Monthly'!$C$4:$C$203,$B37,'3. Monthly'!$K$4:$K$203,"&gt;=0",'3. Monthly'!$L$4:$L$203,"&gt;0")&gt;0,"Yes","No"))</f>
        <v/>
      </c>
      <c r="X37" s="4">
        <f>IF($A37="","No",IF(COUNTIFS('3. Monthly'!$A$4:$A$203,$A37,'3. Monthly'!$C$4:$C$203,$B37,'3. Monthly'!$J$4:$J$203,"&gt;=0",'3. Monthly'!$K$4:$K$203,"&gt;=0",'3. Monthly'!$M$4:$M$203,"&gt;=0",'3. Monthly'!$N$4:$N$203,"&gt;=0",'3. Monthly'!$L$4:$L$203,"&gt;0")&gt;0,"Yes","No"))</f>
        <v/>
      </c>
      <c r="Y37" s="4">
        <f>IF($A37="","No",IF(COUNTIFS('3. Monthly'!$A$4:$A$203,$A37,'3. Monthly'!$C$4:$C$203,$B37,'3. Monthly'!$O$4:$O$203,"&gt;0")&gt;0,"Yes","No"))</f>
        <v/>
      </c>
      <c r="Z37" s="4">
        <f>IF($A37="","No",IF(COUNTIFS('3. Monthly'!$A$4:$A$203,$A37,'3. Monthly'!$C$4:$C$203,$B37,'3. Monthly'!$Q$4:$Q$203,"&gt;=0",'3. Monthly'!$G$4:$G$203,"&gt;0")&gt;0,"Yes","No"))</f>
        <v/>
      </c>
      <c r="AA37" s="4">
        <f>IF($A37="","No",IF(COUNTIFS('3. Monthly'!$A$4:$A$203,$A37,'3. Monthly'!$C$4:$C$203,$B37,'3. Monthly'!$H$4:$H$203,"&gt;0")&gt;0,"Yes","No"))</f>
        <v/>
      </c>
      <c r="AB37" s="4">
        <f>IF($A37="","No",IF(COUNTIFS('3. Monthly'!$A$4:$A$203,$A37,'3. Monthly'!$C$4:$C$203,$B37,'3. Monthly'!$U$4:$U$203,"&gt;=0",'3. Monthly'!$V$4:$V$203,"&gt;=0",'3. Monthly'!$H$4:$H$203,"&gt;0")&gt;0,"Yes","No"))</f>
        <v/>
      </c>
    </row>
    <row r="38">
      <c r="A38" s="4">
        <f>'4. Quarterly'!A38</f>
        <v/>
      </c>
      <c r="B38" s="4">
        <f>'4. Quarterly'!B38</f>
        <v/>
      </c>
      <c r="C38" s="4">
        <f>IFERROR(VLOOKUP($A38,'2. Projects'!$A$3:$B$20,2,0),"")</f>
        <v/>
      </c>
      <c r="D38" s="21">
        <f>IF($A38="","",IFERROR(AVERAGEIFS('5. Metrics'!$D$4:$D$203,'5. Metrics'!$A$4:$A$203,$A38,'5. Metrics'!$C$4:$C$203,$B38),""))</f>
        <v/>
      </c>
      <c r="E38" s="21">
        <f>IF($A38="","",IFERROR(AVERAGEIFS('5. Metrics'!$E$4:$E$203,'5. Metrics'!$A$4:$A$203,$A38,'5. Metrics'!$C$4:$C$203,$B38),""))</f>
        <v/>
      </c>
      <c r="F38" s="21">
        <f>IF($A38="","",IFERROR(AVERAGEIFS('5. Metrics'!$F$4:$F$203,'5. Metrics'!$A$4:$A$203,$A38,'5. Metrics'!$C$4:$C$203,$B38),""))</f>
        <v/>
      </c>
      <c r="G38" s="21">
        <f>IF($A38="","",IFERROR(AVERAGEIFS('5. Metrics'!$I$4:$I$203,'5. Metrics'!$A$4:$A$203,$A38,'5. Metrics'!$C$4:$C$203,$B38),""))</f>
        <v/>
      </c>
      <c r="H38" s="21">
        <f>IF($A38="","",IFERROR(AVERAGEIFS('5. Metrics'!$L$4:$L$203,'5. Metrics'!$A$4:$A$203,$A38,'5. Metrics'!$C$4:$C$203,$B38),""))</f>
        <v/>
      </c>
      <c r="I38" s="21">
        <f>IF($A38="","",IFERROR(AVERAGEIFS('5. Metrics'!$M$4:$M$203,'5. Metrics'!$A$4:$A$203,$A38,'5. Metrics'!$C$4:$C$203,$B38),""))</f>
        <v/>
      </c>
      <c r="J38" s="21">
        <f>IF($A38="","",IFERROR(AVERAGEIFS('5. Metrics'!$N$4:$N$203,'5. Metrics'!$A$4:$A$203,$A38,'5. Metrics'!$C$4:$C$203,$B38),""))</f>
        <v/>
      </c>
      <c r="K38" s="21">
        <f>IF($A38="","",IFERROR(AVERAGEIFS('5. Metrics'!$P$4:$P$203,'5. Metrics'!$A$4:$A$203,$A38,'5. Metrics'!$C$4:$C$203,$B38),""))</f>
        <v/>
      </c>
      <c r="L38" s="21">
        <f>IF($A38="","",IFERROR(AVERAGEIFS('5. Metrics'!$Q$4:$Q$203,'5. Metrics'!$A$4:$A$203,$A38,'5. Metrics'!$C$4:$C$203,$B38),""))</f>
        <v/>
      </c>
      <c r="M38" s="21">
        <f>IF($A38="","",IFERROR(AVERAGEIFS('5. Metrics'!$R$4:$R$203,'5. Metrics'!$A$4:$A$203,$A38,'5. Metrics'!$C$4:$C$203,$B38),""))</f>
        <v/>
      </c>
      <c r="N38" s="24">
        <f>IF($A38="","",IF('4. Quarterly'!L38="Yes",5,IF(AND(ISNUMBER(E38),E38&gt;'10. Thresholds'!$B$4,V38="Yes"),4,IF(AND('4. Quarterly'!K38="Yes",ISNUMBER(E38),E38&gt;='10. Thresholds'!$B$3),3,IF(AND(U38="Yes",ISNUMBER(D38),D38&gt;='10. Thresholds'!$B$5),2,1)))))</f>
        <v/>
      </c>
      <c r="O38" s="24">
        <f>IF($A38="","",IF(AND('4. Quarterly'!P38="Yes",'4. Quarterly'!Q38="Yes",'4. Quarterly'!M38="Yes",'4. Quarterly'!N38="Yes",'4. Quarterly'!O38="Yes",X38="Yes",Y38="Yes"),5,IF(AND('4. Quarterly'!M38="Yes",'4. Quarterly'!N38="Yes",'4. Quarterly'!O38="Yes",X38="Yes",Y38="Yes"),4,IF(AND(X38="Yes",Y38="Yes"),3,IF(W38="Yes",2,1)))))</f>
        <v/>
      </c>
      <c r="P38" s="24">
        <f>IF($A38="","",IF(AND('4. Quarterly'!V38="Yes",'4. Quarterly'!W38="Yes",'4. Quarterly'!X38="Yes",'4. Quarterly'!S38="Yes",'4. Quarterly'!T38="Yes",'4. Quarterly'!U38="Yes",'4. Quarterly'!E38="Yes",Z38="Yes",'4. Quarterly'!R38="Yes"),5,IF(AND('4. Quarterly'!S38="Yes",'4. Quarterly'!T38="Yes",'4. Quarterly'!U38="Yes",'4. Quarterly'!E38="Yes",Z38="Yes",'4. Quarterly'!R38="Yes"),4,IF(AND('4. Quarterly'!E38="Yes",Z38="Yes",'4. Quarterly'!R38="Yes"),3,IF(OR(Z38="Yes",'4. Quarterly'!R38="Yes",'4. Quarterly'!E38="Yes"),2,1)))))</f>
        <v/>
      </c>
      <c r="Q38" s="24">
        <f>IF($A38="","",IF(AA38&lt;&gt;"Yes",1,IF(AB38&lt;&gt;"Yes",2,IF(AND('4. Quarterly'!AA38="Yes",'4. Quarterly'!Y38="Yes",'4. Quarterly'!Z38="Yes",ISNUMBER(M38),M38&gt;='10. Thresholds'!$B$7,ISNUMBER(L38),L38&lt;='10. Thresholds'!$B$8),5,IF(AND('4. Quarterly'!Y38="Yes",'4. Quarterly'!Z38="Yes",ISNUMBER(M38),M38&gt;='10. Thresholds'!$B$6),4,3)))))</f>
        <v/>
      </c>
      <c r="R38" s="24">
        <f>IF($A38="","",IF(AND('4. Quarterly'!C38="Yes",'4. Quarterly'!D38="Yes",'4. Quarterly'!E38="Yes",'4. Quarterly'!F38="Yes",'4. Quarterly'!G38="Yes",'4. Quarterly'!H38="Yes",'4. Quarterly'!I38="Yes",'4. Quarterly'!J38="Yes"),5,IF(AND('4. Quarterly'!C38="Yes",'4. Quarterly'!D38="Yes",'4. Quarterly'!E38="Yes",'4. Quarterly'!F38="Yes",'4. Quarterly'!G38="Yes"),4,IF(AND('4. Quarterly'!C38="Yes",'4. Quarterly'!D38="Yes",'4. Quarterly'!E38="Yes"),3,IF(COUNTIF('4. Quarterly'!C38:J38,"Yes")&gt;=2,2,1)))))</f>
        <v/>
      </c>
      <c r="S38" s="24">
        <f>IF($A38="","",MIN(R38,P38,ROUND(AVERAGE(N38,O38,P38,Q38,R38),0)))</f>
        <v/>
      </c>
      <c r="T38" s="4">
        <f>IF($A38="","",$A38&amp;"|"&amp;$B38)</f>
        <v/>
      </c>
      <c r="U38" s="4">
        <f>IF($A38="","No",IF(COUNTIFS('3. Monthly'!$A$4:$A$203,$A38,'3. Monthly'!$C$4:$C$203,$B38,'3. Monthly'!$E$4:$E$203,"&gt;0")&gt;0,"Yes","No"))</f>
        <v/>
      </c>
      <c r="V38" s="4">
        <f>IF($A38="","No",IF(COUNTIFS('3. Monthly'!$A$4:$A$203,$A38,'3. Monthly'!$C$4:$C$203,$B38,'3. Monthly'!$I$4:$I$203,"&gt;0")&gt;0,"Yes","No"))</f>
        <v/>
      </c>
      <c r="W38" s="4">
        <f>IF($A38="","No",IF(COUNTIFS('3. Monthly'!$A$4:$A$203,$A38,'3. Monthly'!$C$4:$C$203,$B38,'3. Monthly'!$K$4:$K$203,"&gt;=0",'3. Monthly'!$L$4:$L$203,"&gt;0")&gt;0,"Yes","No"))</f>
        <v/>
      </c>
      <c r="X38" s="4">
        <f>IF($A38="","No",IF(COUNTIFS('3. Monthly'!$A$4:$A$203,$A38,'3. Monthly'!$C$4:$C$203,$B38,'3. Monthly'!$J$4:$J$203,"&gt;=0",'3. Monthly'!$K$4:$K$203,"&gt;=0",'3. Monthly'!$M$4:$M$203,"&gt;=0",'3. Monthly'!$N$4:$N$203,"&gt;=0",'3. Monthly'!$L$4:$L$203,"&gt;0")&gt;0,"Yes","No"))</f>
        <v/>
      </c>
      <c r="Y38" s="4">
        <f>IF($A38="","No",IF(COUNTIFS('3. Monthly'!$A$4:$A$203,$A38,'3. Monthly'!$C$4:$C$203,$B38,'3. Monthly'!$O$4:$O$203,"&gt;0")&gt;0,"Yes","No"))</f>
        <v/>
      </c>
      <c r="Z38" s="4">
        <f>IF($A38="","No",IF(COUNTIFS('3. Monthly'!$A$4:$A$203,$A38,'3. Monthly'!$C$4:$C$203,$B38,'3. Monthly'!$Q$4:$Q$203,"&gt;=0",'3. Monthly'!$G$4:$G$203,"&gt;0")&gt;0,"Yes","No"))</f>
        <v/>
      </c>
      <c r="AA38" s="4">
        <f>IF($A38="","No",IF(COUNTIFS('3. Monthly'!$A$4:$A$203,$A38,'3. Monthly'!$C$4:$C$203,$B38,'3. Monthly'!$H$4:$H$203,"&gt;0")&gt;0,"Yes","No"))</f>
        <v/>
      </c>
      <c r="AB38" s="4">
        <f>IF($A38="","No",IF(COUNTIFS('3. Monthly'!$A$4:$A$203,$A38,'3. Monthly'!$C$4:$C$203,$B38,'3. Monthly'!$U$4:$U$203,"&gt;=0",'3. Monthly'!$V$4:$V$203,"&gt;=0",'3. Monthly'!$H$4:$H$203,"&gt;0")&gt;0,"Yes","No"))</f>
        <v/>
      </c>
    </row>
    <row r="39">
      <c r="A39" s="4">
        <f>'4. Quarterly'!A39</f>
        <v/>
      </c>
      <c r="B39" s="4">
        <f>'4. Quarterly'!B39</f>
        <v/>
      </c>
      <c r="C39" s="4">
        <f>IFERROR(VLOOKUP($A39,'2. Projects'!$A$3:$B$20,2,0),"")</f>
        <v/>
      </c>
      <c r="D39" s="21">
        <f>IF($A39="","",IFERROR(AVERAGEIFS('5. Metrics'!$D$4:$D$203,'5. Metrics'!$A$4:$A$203,$A39,'5. Metrics'!$C$4:$C$203,$B39),""))</f>
        <v/>
      </c>
      <c r="E39" s="21">
        <f>IF($A39="","",IFERROR(AVERAGEIFS('5. Metrics'!$E$4:$E$203,'5. Metrics'!$A$4:$A$203,$A39,'5. Metrics'!$C$4:$C$203,$B39),""))</f>
        <v/>
      </c>
      <c r="F39" s="21">
        <f>IF($A39="","",IFERROR(AVERAGEIFS('5. Metrics'!$F$4:$F$203,'5. Metrics'!$A$4:$A$203,$A39,'5. Metrics'!$C$4:$C$203,$B39),""))</f>
        <v/>
      </c>
      <c r="G39" s="21">
        <f>IF($A39="","",IFERROR(AVERAGEIFS('5. Metrics'!$I$4:$I$203,'5. Metrics'!$A$4:$A$203,$A39,'5. Metrics'!$C$4:$C$203,$B39),""))</f>
        <v/>
      </c>
      <c r="H39" s="21">
        <f>IF($A39="","",IFERROR(AVERAGEIFS('5. Metrics'!$L$4:$L$203,'5. Metrics'!$A$4:$A$203,$A39,'5. Metrics'!$C$4:$C$203,$B39),""))</f>
        <v/>
      </c>
      <c r="I39" s="21">
        <f>IF($A39="","",IFERROR(AVERAGEIFS('5. Metrics'!$M$4:$M$203,'5. Metrics'!$A$4:$A$203,$A39,'5. Metrics'!$C$4:$C$203,$B39),""))</f>
        <v/>
      </c>
      <c r="J39" s="21">
        <f>IF($A39="","",IFERROR(AVERAGEIFS('5. Metrics'!$N$4:$N$203,'5. Metrics'!$A$4:$A$203,$A39,'5. Metrics'!$C$4:$C$203,$B39),""))</f>
        <v/>
      </c>
      <c r="K39" s="21">
        <f>IF($A39="","",IFERROR(AVERAGEIFS('5. Metrics'!$P$4:$P$203,'5. Metrics'!$A$4:$A$203,$A39,'5. Metrics'!$C$4:$C$203,$B39),""))</f>
        <v/>
      </c>
      <c r="L39" s="21">
        <f>IF($A39="","",IFERROR(AVERAGEIFS('5. Metrics'!$Q$4:$Q$203,'5. Metrics'!$A$4:$A$203,$A39,'5. Metrics'!$C$4:$C$203,$B39),""))</f>
        <v/>
      </c>
      <c r="M39" s="21">
        <f>IF($A39="","",IFERROR(AVERAGEIFS('5. Metrics'!$R$4:$R$203,'5. Metrics'!$A$4:$A$203,$A39,'5. Metrics'!$C$4:$C$203,$B39),""))</f>
        <v/>
      </c>
      <c r="N39" s="24">
        <f>IF($A39="","",IF('4. Quarterly'!L39="Yes",5,IF(AND(ISNUMBER(E39),E39&gt;'10. Thresholds'!$B$4,V39="Yes"),4,IF(AND('4. Quarterly'!K39="Yes",ISNUMBER(E39),E39&gt;='10. Thresholds'!$B$3),3,IF(AND(U39="Yes",ISNUMBER(D39),D39&gt;='10. Thresholds'!$B$5),2,1)))))</f>
        <v/>
      </c>
      <c r="O39" s="24">
        <f>IF($A39="","",IF(AND('4. Quarterly'!P39="Yes",'4. Quarterly'!Q39="Yes",'4. Quarterly'!M39="Yes",'4. Quarterly'!N39="Yes",'4. Quarterly'!O39="Yes",X39="Yes",Y39="Yes"),5,IF(AND('4. Quarterly'!M39="Yes",'4. Quarterly'!N39="Yes",'4. Quarterly'!O39="Yes",X39="Yes",Y39="Yes"),4,IF(AND(X39="Yes",Y39="Yes"),3,IF(W39="Yes",2,1)))))</f>
        <v/>
      </c>
      <c r="P39" s="24">
        <f>IF($A39="","",IF(AND('4. Quarterly'!V39="Yes",'4. Quarterly'!W39="Yes",'4. Quarterly'!X39="Yes",'4. Quarterly'!S39="Yes",'4. Quarterly'!T39="Yes",'4. Quarterly'!U39="Yes",'4. Quarterly'!E39="Yes",Z39="Yes",'4. Quarterly'!R39="Yes"),5,IF(AND('4. Quarterly'!S39="Yes",'4. Quarterly'!T39="Yes",'4. Quarterly'!U39="Yes",'4. Quarterly'!E39="Yes",Z39="Yes",'4. Quarterly'!R39="Yes"),4,IF(AND('4. Quarterly'!E39="Yes",Z39="Yes",'4. Quarterly'!R39="Yes"),3,IF(OR(Z39="Yes",'4. Quarterly'!R39="Yes",'4. Quarterly'!E39="Yes"),2,1)))))</f>
        <v/>
      </c>
      <c r="Q39" s="24">
        <f>IF($A39="","",IF(AA39&lt;&gt;"Yes",1,IF(AB39&lt;&gt;"Yes",2,IF(AND('4. Quarterly'!AA39="Yes",'4. Quarterly'!Y39="Yes",'4. Quarterly'!Z39="Yes",ISNUMBER(M39),M39&gt;='10. Thresholds'!$B$7,ISNUMBER(L39),L39&lt;='10. Thresholds'!$B$8),5,IF(AND('4. Quarterly'!Y39="Yes",'4. Quarterly'!Z39="Yes",ISNUMBER(M39),M39&gt;='10. Thresholds'!$B$6),4,3)))))</f>
        <v/>
      </c>
      <c r="R39" s="24">
        <f>IF($A39="","",IF(AND('4. Quarterly'!C39="Yes",'4. Quarterly'!D39="Yes",'4. Quarterly'!E39="Yes",'4. Quarterly'!F39="Yes",'4. Quarterly'!G39="Yes",'4. Quarterly'!H39="Yes",'4. Quarterly'!I39="Yes",'4. Quarterly'!J39="Yes"),5,IF(AND('4. Quarterly'!C39="Yes",'4. Quarterly'!D39="Yes",'4. Quarterly'!E39="Yes",'4. Quarterly'!F39="Yes",'4. Quarterly'!G39="Yes"),4,IF(AND('4. Quarterly'!C39="Yes",'4. Quarterly'!D39="Yes",'4. Quarterly'!E39="Yes"),3,IF(COUNTIF('4. Quarterly'!C39:J39,"Yes")&gt;=2,2,1)))))</f>
        <v/>
      </c>
      <c r="S39" s="24">
        <f>IF($A39="","",MIN(R39,P39,ROUND(AVERAGE(N39,O39,P39,Q39,R39),0)))</f>
        <v/>
      </c>
      <c r="T39" s="4">
        <f>IF($A39="","",$A39&amp;"|"&amp;$B39)</f>
        <v/>
      </c>
      <c r="U39" s="4">
        <f>IF($A39="","No",IF(COUNTIFS('3. Monthly'!$A$4:$A$203,$A39,'3. Monthly'!$C$4:$C$203,$B39,'3. Monthly'!$E$4:$E$203,"&gt;0")&gt;0,"Yes","No"))</f>
        <v/>
      </c>
      <c r="V39" s="4">
        <f>IF($A39="","No",IF(COUNTIFS('3. Monthly'!$A$4:$A$203,$A39,'3. Monthly'!$C$4:$C$203,$B39,'3. Monthly'!$I$4:$I$203,"&gt;0")&gt;0,"Yes","No"))</f>
        <v/>
      </c>
      <c r="W39" s="4">
        <f>IF($A39="","No",IF(COUNTIFS('3. Monthly'!$A$4:$A$203,$A39,'3. Monthly'!$C$4:$C$203,$B39,'3. Monthly'!$K$4:$K$203,"&gt;=0",'3. Monthly'!$L$4:$L$203,"&gt;0")&gt;0,"Yes","No"))</f>
        <v/>
      </c>
      <c r="X39" s="4">
        <f>IF($A39="","No",IF(COUNTIFS('3. Monthly'!$A$4:$A$203,$A39,'3. Monthly'!$C$4:$C$203,$B39,'3. Monthly'!$J$4:$J$203,"&gt;=0",'3. Monthly'!$K$4:$K$203,"&gt;=0",'3. Monthly'!$M$4:$M$203,"&gt;=0",'3. Monthly'!$N$4:$N$203,"&gt;=0",'3. Monthly'!$L$4:$L$203,"&gt;0")&gt;0,"Yes","No"))</f>
        <v/>
      </c>
      <c r="Y39" s="4">
        <f>IF($A39="","No",IF(COUNTIFS('3. Monthly'!$A$4:$A$203,$A39,'3. Monthly'!$C$4:$C$203,$B39,'3. Monthly'!$O$4:$O$203,"&gt;0")&gt;0,"Yes","No"))</f>
        <v/>
      </c>
      <c r="Z39" s="4">
        <f>IF($A39="","No",IF(COUNTIFS('3. Monthly'!$A$4:$A$203,$A39,'3. Monthly'!$C$4:$C$203,$B39,'3. Monthly'!$Q$4:$Q$203,"&gt;=0",'3. Monthly'!$G$4:$G$203,"&gt;0")&gt;0,"Yes","No"))</f>
        <v/>
      </c>
      <c r="AA39" s="4">
        <f>IF($A39="","No",IF(COUNTIFS('3. Monthly'!$A$4:$A$203,$A39,'3. Monthly'!$C$4:$C$203,$B39,'3. Monthly'!$H$4:$H$203,"&gt;0")&gt;0,"Yes","No"))</f>
        <v/>
      </c>
      <c r="AB39" s="4">
        <f>IF($A39="","No",IF(COUNTIFS('3. Monthly'!$A$4:$A$203,$A39,'3. Monthly'!$C$4:$C$203,$B39,'3. Monthly'!$U$4:$U$203,"&gt;=0",'3. Monthly'!$V$4:$V$203,"&gt;=0",'3. Monthly'!$H$4:$H$203,"&gt;0")&gt;0,"Yes","No"))</f>
        <v/>
      </c>
    </row>
    <row r="40">
      <c r="A40" s="4">
        <f>'4. Quarterly'!A40</f>
        <v/>
      </c>
      <c r="B40" s="4">
        <f>'4. Quarterly'!B40</f>
        <v/>
      </c>
      <c r="C40" s="4">
        <f>IFERROR(VLOOKUP($A40,'2. Projects'!$A$3:$B$20,2,0),"")</f>
        <v/>
      </c>
      <c r="D40" s="21">
        <f>IF($A40="","",IFERROR(AVERAGEIFS('5. Metrics'!$D$4:$D$203,'5. Metrics'!$A$4:$A$203,$A40,'5. Metrics'!$C$4:$C$203,$B40),""))</f>
        <v/>
      </c>
      <c r="E40" s="21">
        <f>IF($A40="","",IFERROR(AVERAGEIFS('5. Metrics'!$E$4:$E$203,'5. Metrics'!$A$4:$A$203,$A40,'5. Metrics'!$C$4:$C$203,$B40),""))</f>
        <v/>
      </c>
      <c r="F40" s="21">
        <f>IF($A40="","",IFERROR(AVERAGEIFS('5. Metrics'!$F$4:$F$203,'5. Metrics'!$A$4:$A$203,$A40,'5. Metrics'!$C$4:$C$203,$B40),""))</f>
        <v/>
      </c>
      <c r="G40" s="21">
        <f>IF($A40="","",IFERROR(AVERAGEIFS('5. Metrics'!$I$4:$I$203,'5. Metrics'!$A$4:$A$203,$A40,'5. Metrics'!$C$4:$C$203,$B40),""))</f>
        <v/>
      </c>
      <c r="H40" s="21">
        <f>IF($A40="","",IFERROR(AVERAGEIFS('5. Metrics'!$L$4:$L$203,'5. Metrics'!$A$4:$A$203,$A40,'5. Metrics'!$C$4:$C$203,$B40),""))</f>
        <v/>
      </c>
      <c r="I40" s="21">
        <f>IF($A40="","",IFERROR(AVERAGEIFS('5. Metrics'!$M$4:$M$203,'5. Metrics'!$A$4:$A$203,$A40,'5. Metrics'!$C$4:$C$203,$B40),""))</f>
        <v/>
      </c>
      <c r="J40" s="21">
        <f>IF($A40="","",IFERROR(AVERAGEIFS('5. Metrics'!$N$4:$N$203,'5. Metrics'!$A$4:$A$203,$A40,'5. Metrics'!$C$4:$C$203,$B40),""))</f>
        <v/>
      </c>
      <c r="K40" s="21">
        <f>IF($A40="","",IFERROR(AVERAGEIFS('5. Metrics'!$P$4:$P$203,'5. Metrics'!$A$4:$A$203,$A40,'5. Metrics'!$C$4:$C$203,$B40),""))</f>
        <v/>
      </c>
      <c r="L40" s="21">
        <f>IF($A40="","",IFERROR(AVERAGEIFS('5. Metrics'!$Q$4:$Q$203,'5. Metrics'!$A$4:$A$203,$A40,'5. Metrics'!$C$4:$C$203,$B40),""))</f>
        <v/>
      </c>
      <c r="M40" s="21">
        <f>IF($A40="","",IFERROR(AVERAGEIFS('5. Metrics'!$R$4:$R$203,'5. Metrics'!$A$4:$A$203,$A40,'5. Metrics'!$C$4:$C$203,$B40),""))</f>
        <v/>
      </c>
      <c r="N40" s="24">
        <f>IF($A40="","",IF('4. Quarterly'!L40="Yes",5,IF(AND(ISNUMBER(E40),E40&gt;'10. Thresholds'!$B$4,V40="Yes"),4,IF(AND('4. Quarterly'!K40="Yes",ISNUMBER(E40),E40&gt;='10. Thresholds'!$B$3),3,IF(AND(U40="Yes",ISNUMBER(D40),D40&gt;='10. Thresholds'!$B$5),2,1)))))</f>
        <v/>
      </c>
      <c r="O40" s="24">
        <f>IF($A40="","",IF(AND('4. Quarterly'!P40="Yes",'4. Quarterly'!Q40="Yes",'4. Quarterly'!M40="Yes",'4. Quarterly'!N40="Yes",'4. Quarterly'!O40="Yes",X40="Yes",Y40="Yes"),5,IF(AND('4. Quarterly'!M40="Yes",'4. Quarterly'!N40="Yes",'4. Quarterly'!O40="Yes",X40="Yes",Y40="Yes"),4,IF(AND(X40="Yes",Y40="Yes"),3,IF(W40="Yes",2,1)))))</f>
        <v/>
      </c>
      <c r="P40" s="24">
        <f>IF($A40="","",IF(AND('4. Quarterly'!V40="Yes",'4. Quarterly'!W40="Yes",'4. Quarterly'!X40="Yes",'4. Quarterly'!S40="Yes",'4. Quarterly'!T40="Yes",'4. Quarterly'!U40="Yes",'4. Quarterly'!E40="Yes",Z40="Yes",'4. Quarterly'!R40="Yes"),5,IF(AND('4. Quarterly'!S40="Yes",'4. Quarterly'!T40="Yes",'4. Quarterly'!U40="Yes",'4. Quarterly'!E40="Yes",Z40="Yes",'4. Quarterly'!R40="Yes"),4,IF(AND('4. Quarterly'!E40="Yes",Z40="Yes",'4. Quarterly'!R40="Yes"),3,IF(OR(Z40="Yes",'4. Quarterly'!R40="Yes",'4. Quarterly'!E40="Yes"),2,1)))))</f>
        <v/>
      </c>
      <c r="Q40" s="24">
        <f>IF($A40="","",IF(AA40&lt;&gt;"Yes",1,IF(AB40&lt;&gt;"Yes",2,IF(AND('4. Quarterly'!AA40="Yes",'4. Quarterly'!Y40="Yes",'4. Quarterly'!Z40="Yes",ISNUMBER(M40),M40&gt;='10. Thresholds'!$B$7,ISNUMBER(L40),L40&lt;='10. Thresholds'!$B$8),5,IF(AND('4. Quarterly'!Y40="Yes",'4. Quarterly'!Z40="Yes",ISNUMBER(M40),M40&gt;='10. Thresholds'!$B$6),4,3)))))</f>
        <v/>
      </c>
      <c r="R40" s="24">
        <f>IF($A40="","",IF(AND('4. Quarterly'!C40="Yes",'4. Quarterly'!D40="Yes",'4. Quarterly'!E40="Yes",'4. Quarterly'!F40="Yes",'4. Quarterly'!G40="Yes",'4. Quarterly'!H40="Yes",'4. Quarterly'!I40="Yes",'4. Quarterly'!J40="Yes"),5,IF(AND('4. Quarterly'!C40="Yes",'4. Quarterly'!D40="Yes",'4. Quarterly'!E40="Yes",'4. Quarterly'!F40="Yes",'4. Quarterly'!G40="Yes"),4,IF(AND('4. Quarterly'!C40="Yes",'4. Quarterly'!D40="Yes",'4. Quarterly'!E40="Yes"),3,IF(COUNTIF('4. Quarterly'!C40:J40,"Yes")&gt;=2,2,1)))))</f>
        <v/>
      </c>
      <c r="S40" s="24">
        <f>IF($A40="","",MIN(R40,P40,ROUND(AVERAGE(N40,O40,P40,Q40,R40),0)))</f>
        <v/>
      </c>
      <c r="T40" s="4">
        <f>IF($A40="","",$A40&amp;"|"&amp;$B40)</f>
        <v/>
      </c>
      <c r="U40" s="4">
        <f>IF($A40="","No",IF(COUNTIFS('3. Monthly'!$A$4:$A$203,$A40,'3. Monthly'!$C$4:$C$203,$B40,'3. Monthly'!$E$4:$E$203,"&gt;0")&gt;0,"Yes","No"))</f>
        <v/>
      </c>
      <c r="V40" s="4">
        <f>IF($A40="","No",IF(COUNTIFS('3. Monthly'!$A$4:$A$203,$A40,'3. Monthly'!$C$4:$C$203,$B40,'3. Monthly'!$I$4:$I$203,"&gt;0")&gt;0,"Yes","No"))</f>
        <v/>
      </c>
      <c r="W40" s="4">
        <f>IF($A40="","No",IF(COUNTIFS('3. Monthly'!$A$4:$A$203,$A40,'3. Monthly'!$C$4:$C$203,$B40,'3. Monthly'!$K$4:$K$203,"&gt;=0",'3. Monthly'!$L$4:$L$203,"&gt;0")&gt;0,"Yes","No"))</f>
        <v/>
      </c>
      <c r="X40" s="4">
        <f>IF($A40="","No",IF(COUNTIFS('3. Monthly'!$A$4:$A$203,$A40,'3. Monthly'!$C$4:$C$203,$B40,'3. Monthly'!$J$4:$J$203,"&gt;=0",'3. Monthly'!$K$4:$K$203,"&gt;=0",'3. Monthly'!$M$4:$M$203,"&gt;=0",'3. Monthly'!$N$4:$N$203,"&gt;=0",'3. Monthly'!$L$4:$L$203,"&gt;0")&gt;0,"Yes","No"))</f>
        <v/>
      </c>
      <c r="Y40" s="4">
        <f>IF($A40="","No",IF(COUNTIFS('3. Monthly'!$A$4:$A$203,$A40,'3. Monthly'!$C$4:$C$203,$B40,'3. Monthly'!$O$4:$O$203,"&gt;0")&gt;0,"Yes","No"))</f>
        <v/>
      </c>
      <c r="Z40" s="4">
        <f>IF($A40="","No",IF(COUNTIFS('3. Monthly'!$A$4:$A$203,$A40,'3. Monthly'!$C$4:$C$203,$B40,'3. Monthly'!$Q$4:$Q$203,"&gt;=0",'3. Monthly'!$G$4:$G$203,"&gt;0")&gt;0,"Yes","No"))</f>
        <v/>
      </c>
      <c r="AA40" s="4">
        <f>IF($A40="","No",IF(COUNTIFS('3. Monthly'!$A$4:$A$203,$A40,'3. Monthly'!$C$4:$C$203,$B40,'3. Monthly'!$H$4:$H$203,"&gt;0")&gt;0,"Yes","No"))</f>
        <v/>
      </c>
      <c r="AB40" s="4">
        <f>IF($A40="","No",IF(COUNTIFS('3. Monthly'!$A$4:$A$203,$A40,'3. Monthly'!$C$4:$C$203,$B40,'3. Monthly'!$U$4:$U$203,"&gt;=0",'3. Monthly'!$V$4:$V$203,"&gt;=0",'3. Monthly'!$H$4:$H$203,"&gt;0")&gt;0,"Yes","No"))</f>
        <v/>
      </c>
    </row>
    <row r="41">
      <c r="A41" s="4">
        <f>'4. Quarterly'!A41</f>
        <v/>
      </c>
      <c r="B41" s="4">
        <f>'4. Quarterly'!B41</f>
        <v/>
      </c>
      <c r="C41" s="4">
        <f>IFERROR(VLOOKUP($A41,'2. Projects'!$A$3:$B$20,2,0),"")</f>
        <v/>
      </c>
      <c r="D41" s="21">
        <f>IF($A41="","",IFERROR(AVERAGEIFS('5. Metrics'!$D$4:$D$203,'5. Metrics'!$A$4:$A$203,$A41,'5. Metrics'!$C$4:$C$203,$B41),""))</f>
        <v/>
      </c>
      <c r="E41" s="21">
        <f>IF($A41="","",IFERROR(AVERAGEIFS('5. Metrics'!$E$4:$E$203,'5. Metrics'!$A$4:$A$203,$A41,'5. Metrics'!$C$4:$C$203,$B41),""))</f>
        <v/>
      </c>
      <c r="F41" s="21">
        <f>IF($A41="","",IFERROR(AVERAGEIFS('5. Metrics'!$F$4:$F$203,'5. Metrics'!$A$4:$A$203,$A41,'5. Metrics'!$C$4:$C$203,$B41),""))</f>
        <v/>
      </c>
      <c r="G41" s="21">
        <f>IF($A41="","",IFERROR(AVERAGEIFS('5. Metrics'!$I$4:$I$203,'5. Metrics'!$A$4:$A$203,$A41,'5. Metrics'!$C$4:$C$203,$B41),""))</f>
        <v/>
      </c>
      <c r="H41" s="21">
        <f>IF($A41="","",IFERROR(AVERAGEIFS('5. Metrics'!$L$4:$L$203,'5. Metrics'!$A$4:$A$203,$A41,'5. Metrics'!$C$4:$C$203,$B41),""))</f>
        <v/>
      </c>
      <c r="I41" s="21">
        <f>IF($A41="","",IFERROR(AVERAGEIFS('5. Metrics'!$M$4:$M$203,'5. Metrics'!$A$4:$A$203,$A41,'5. Metrics'!$C$4:$C$203,$B41),""))</f>
        <v/>
      </c>
      <c r="J41" s="21">
        <f>IF($A41="","",IFERROR(AVERAGEIFS('5. Metrics'!$N$4:$N$203,'5. Metrics'!$A$4:$A$203,$A41,'5. Metrics'!$C$4:$C$203,$B41),""))</f>
        <v/>
      </c>
      <c r="K41" s="21">
        <f>IF($A41="","",IFERROR(AVERAGEIFS('5. Metrics'!$P$4:$P$203,'5. Metrics'!$A$4:$A$203,$A41,'5. Metrics'!$C$4:$C$203,$B41),""))</f>
        <v/>
      </c>
      <c r="L41" s="21">
        <f>IF($A41="","",IFERROR(AVERAGEIFS('5. Metrics'!$Q$4:$Q$203,'5. Metrics'!$A$4:$A$203,$A41,'5. Metrics'!$C$4:$C$203,$B41),""))</f>
        <v/>
      </c>
      <c r="M41" s="21">
        <f>IF($A41="","",IFERROR(AVERAGEIFS('5. Metrics'!$R$4:$R$203,'5. Metrics'!$A$4:$A$203,$A41,'5. Metrics'!$C$4:$C$203,$B41),""))</f>
        <v/>
      </c>
      <c r="N41" s="24">
        <f>IF($A41="","",IF('4. Quarterly'!L41="Yes",5,IF(AND(ISNUMBER(E41),E41&gt;'10. Thresholds'!$B$4,V41="Yes"),4,IF(AND('4. Quarterly'!K41="Yes",ISNUMBER(E41),E41&gt;='10. Thresholds'!$B$3),3,IF(AND(U41="Yes",ISNUMBER(D41),D41&gt;='10. Thresholds'!$B$5),2,1)))))</f>
        <v/>
      </c>
      <c r="O41" s="24">
        <f>IF($A41="","",IF(AND('4. Quarterly'!P41="Yes",'4. Quarterly'!Q41="Yes",'4. Quarterly'!M41="Yes",'4. Quarterly'!N41="Yes",'4. Quarterly'!O41="Yes",X41="Yes",Y41="Yes"),5,IF(AND('4. Quarterly'!M41="Yes",'4. Quarterly'!N41="Yes",'4. Quarterly'!O41="Yes",X41="Yes",Y41="Yes"),4,IF(AND(X41="Yes",Y41="Yes"),3,IF(W41="Yes",2,1)))))</f>
        <v/>
      </c>
      <c r="P41" s="24">
        <f>IF($A41="","",IF(AND('4. Quarterly'!V41="Yes",'4. Quarterly'!W41="Yes",'4. Quarterly'!X41="Yes",'4. Quarterly'!S41="Yes",'4. Quarterly'!T41="Yes",'4. Quarterly'!U41="Yes",'4. Quarterly'!E41="Yes",Z41="Yes",'4. Quarterly'!R41="Yes"),5,IF(AND('4. Quarterly'!S41="Yes",'4. Quarterly'!T41="Yes",'4. Quarterly'!U41="Yes",'4. Quarterly'!E41="Yes",Z41="Yes",'4. Quarterly'!R41="Yes"),4,IF(AND('4. Quarterly'!E41="Yes",Z41="Yes",'4. Quarterly'!R41="Yes"),3,IF(OR(Z41="Yes",'4. Quarterly'!R41="Yes",'4. Quarterly'!E41="Yes"),2,1)))))</f>
        <v/>
      </c>
      <c r="Q41" s="24">
        <f>IF($A41="","",IF(AA41&lt;&gt;"Yes",1,IF(AB41&lt;&gt;"Yes",2,IF(AND('4. Quarterly'!AA41="Yes",'4. Quarterly'!Y41="Yes",'4. Quarterly'!Z41="Yes",ISNUMBER(M41),M41&gt;='10. Thresholds'!$B$7,ISNUMBER(L41),L41&lt;='10. Thresholds'!$B$8),5,IF(AND('4. Quarterly'!Y41="Yes",'4. Quarterly'!Z41="Yes",ISNUMBER(M41),M41&gt;='10. Thresholds'!$B$6),4,3)))))</f>
        <v/>
      </c>
      <c r="R41" s="24">
        <f>IF($A41="","",IF(AND('4. Quarterly'!C41="Yes",'4. Quarterly'!D41="Yes",'4. Quarterly'!E41="Yes",'4. Quarterly'!F41="Yes",'4. Quarterly'!G41="Yes",'4. Quarterly'!H41="Yes",'4. Quarterly'!I41="Yes",'4. Quarterly'!J41="Yes"),5,IF(AND('4. Quarterly'!C41="Yes",'4. Quarterly'!D41="Yes",'4. Quarterly'!E41="Yes",'4. Quarterly'!F41="Yes",'4. Quarterly'!G41="Yes"),4,IF(AND('4. Quarterly'!C41="Yes",'4. Quarterly'!D41="Yes",'4. Quarterly'!E41="Yes"),3,IF(COUNTIF('4. Quarterly'!C41:J41,"Yes")&gt;=2,2,1)))))</f>
        <v/>
      </c>
      <c r="S41" s="24">
        <f>IF($A41="","",MIN(R41,P41,ROUND(AVERAGE(N41,O41,P41,Q41,R41),0)))</f>
        <v/>
      </c>
      <c r="T41" s="4">
        <f>IF($A41="","",$A41&amp;"|"&amp;$B41)</f>
        <v/>
      </c>
      <c r="U41" s="4">
        <f>IF($A41="","No",IF(COUNTIFS('3. Monthly'!$A$4:$A$203,$A41,'3. Monthly'!$C$4:$C$203,$B41,'3. Monthly'!$E$4:$E$203,"&gt;0")&gt;0,"Yes","No"))</f>
        <v/>
      </c>
      <c r="V41" s="4">
        <f>IF($A41="","No",IF(COUNTIFS('3. Monthly'!$A$4:$A$203,$A41,'3. Monthly'!$C$4:$C$203,$B41,'3. Monthly'!$I$4:$I$203,"&gt;0")&gt;0,"Yes","No"))</f>
        <v/>
      </c>
      <c r="W41" s="4">
        <f>IF($A41="","No",IF(COUNTIFS('3. Monthly'!$A$4:$A$203,$A41,'3. Monthly'!$C$4:$C$203,$B41,'3. Monthly'!$K$4:$K$203,"&gt;=0",'3. Monthly'!$L$4:$L$203,"&gt;0")&gt;0,"Yes","No"))</f>
        <v/>
      </c>
      <c r="X41" s="4">
        <f>IF($A41="","No",IF(COUNTIFS('3. Monthly'!$A$4:$A$203,$A41,'3. Monthly'!$C$4:$C$203,$B41,'3. Monthly'!$J$4:$J$203,"&gt;=0",'3. Monthly'!$K$4:$K$203,"&gt;=0",'3. Monthly'!$M$4:$M$203,"&gt;=0",'3. Monthly'!$N$4:$N$203,"&gt;=0",'3. Monthly'!$L$4:$L$203,"&gt;0")&gt;0,"Yes","No"))</f>
        <v/>
      </c>
      <c r="Y41" s="4">
        <f>IF($A41="","No",IF(COUNTIFS('3. Monthly'!$A$4:$A$203,$A41,'3. Monthly'!$C$4:$C$203,$B41,'3. Monthly'!$O$4:$O$203,"&gt;0")&gt;0,"Yes","No"))</f>
        <v/>
      </c>
      <c r="Z41" s="4">
        <f>IF($A41="","No",IF(COUNTIFS('3. Monthly'!$A$4:$A$203,$A41,'3. Monthly'!$C$4:$C$203,$B41,'3. Monthly'!$Q$4:$Q$203,"&gt;=0",'3. Monthly'!$G$4:$G$203,"&gt;0")&gt;0,"Yes","No"))</f>
        <v/>
      </c>
      <c r="AA41" s="4">
        <f>IF($A41="","No",IF(COUNTIFS('3. Monthly'!$A$4:$A$203,$A41,'3. Monthly'!$C$4:$C$203,$B41,'3. Monthly'!$H$4:$H$203,"&gt;0")&gt;0,"Yes","No"))</f>
        <v/>
      </c>
      <c r="AB41" s="4">
        <f>IF($A41="","No",IF(COUNTIFS('3. Monthly'!$A$4:$A$203,$A41,'3. Monthly'!$C$4:$C$203,$B41,'3. Monthly'!$U$4:$U$203,"&gt;=0",'3. Monthly'!$V$4:$V$203,"&gt;=0",'3. Monthly'!$H$4:$H$203,"&gt;0")&gt;0,"Yes","No"))</f>
        <v/>
      </c>
    </row>
    <row r="42">
      <c r="A42" s="4">
        <f>'4. Quarterly'!A42</f>
        <v/>
      </c>
      <c r="B42" s="4">
        <f>'4. Quarterly'!B42</f>
        <v/>
      </c>
      <c r="C42" s="4">
        <f>IFERROR(VLOOKUP($A42,'2. Projects'!$A$3:$B$20,2,0),"")</f>
        <v/>
      </c>
      <c r="D42" s="21">
        <f>IF($A42="","",IFERROR(AVERAGEIFS('5. Metrics'!$D$4:$D$203,'5. Metrics'!$A$4:$A$203,$A42,'5. Metrics'!$C$4:$C$203,$B42),""))</f>
        <v/>
      </c>
      <c r="E42" s="21">
        <f>IF($A42="","",IFERROR(AVERAGEIFS('5. Metrics'!$E$4:$E$203,'5. Metrics'!$A$4:$A$203,$A42,'5. Metrics'!$C$4:$C$203,$B42),""))</f>
        <v/>
      </c>
      <c r="F42" s="21">
        <f>IF($A42="","",IFERROR(AVERAGEIFS('5. Metrics'!$F$4:$F$203,'5. Metrics'!$A$4:$A$203,$A42,'5. Metrics'!$C$4:$C$203,$B42),""))</f>
        <v/>
      </c>
      <c r="G42" s="21">
        <f>IF($A42="","",IFERROR(AVERAGEIFS('5. Metrics'!$I$4:$I$203,'5. Metrics'!$A$4:$A$203,$A42,'5. Metrics'!$C$4:$C$203,$B42),""))</f>
        <v/>
      </c>
      <c r="H42" s="21">
        <f>IF($A42="","",IFERROR(AVERAGEIFS('5. Metrics'!$L$4:$L$203,'5. Metrics'!$A$4:$A$203,$A42,'5. Metrics'!$C$4:$C$203,$B42),""))</f>
        <v/>
      </c>
      <c r="I42" s="21">
        <f>IF($A42="","",IFERROR(AVERAGEIFS('5. Metrics'!$M$4:$M$203,'5. Metrics'!$A$4:$A$203,$A42,'5. Metrics'!$C$4:$C$203,$B42),""))</f>
        <v/>
      </c>
      <c r="J42" s="21">
        <f>IF($A42="","",IFERROR(AVERAGEIFS('5. Metrics'!$N$4:$N$203,'5. Metrics'!$A$4:$A$203,$A42,'5. Metrics'!$C$4:$C$203,$B42),""))</f>
        <v/>
      </c>
      <c r="K42" s="21">
        <f>IF($A42="","",IFERROR(AVERAGEIFS('5. Metrics'!$P$4:$P$203,'5. Metrics'!$A$4:$A$203,$A42,'5. Metrics'!$C$4:$C$203,$B42),""))</f>
        <v/>
      </c>
      <c r="L42" s="21">
        <f>IF($A42="","",IFERROR(AVERAGEIFS('5. Metrics'!$Q$4:$Q$203,'5. Metrics'!$A$4:$A$203,$A42,'5. Metrics'!$C$4:$C$203,$B42),""))</f>
        <v/>
      </c>
      <c r="M42" s="21">
        <f>IF($A42="","",IFERROR(AVERAGEIFS('5. Metrics'!$R$4:$R$203,'5. Metrics'!$A$4:$A$203,$A42,'5. Metrics'!$C$4:$C$203,$B42),""))</f>
        <v/>
      </c>
      <c r="N42" s="24">
        <f>IF($A42="","",IF('4. Quarterly'!L42="Yes",5,IF(AND(ISNUMBER(E42),E42&gt;'10. Thresholds'!$B$4,V42="Yes"),4,IF(AND('4. Quarterly'!K42="Yes",ISNUMBER(E42),E42&gt;='10. Thresholds'!$B$3),3,IF(AND(U42="Yes",ISNUMBER(D42),D42&gt;='10. Thresholds'!$B$5),2,1)))))</f>
        <v/>
      </c>
      <c r="O42" s="24">
        <f>IF($A42="","",IF(AND('4. Quarterly'!P42="Yes",'4. Quarterly'!Q42="Yes",'4. Quarterly'!M42="Yes",'4. Quarterly'!N42="Yes",'4. Quarterly'!O42="Yes",X42="Yes",Y42="Yes"),5,IF(AND('4. Quarterly'!M42="Yes",'4. Quarterly'!N42="Yes",'4. Quarterly'!O42="Yes",X42="Yes",Y42="Yes"),4,IF(AND(X42="Yes",Y42="Yes"),3,IF(W42="Yes",2,1)))))</f>
        <v/>
      </c>
      <c r="P42" s="24">
        <f>IF($A42="","",IF(AND('4. Quarterly'!V42="Yes",'4. Quarterly'!W42="Yes",'4. Quarterly'!X42="Yes",'4. Quarterly'!S42="Yes",'4. Quarterly'!T42="Yes",'4. Quarterly'!U42="Yes",'4. Quarterly'!E42="Yes",Z42="Yes",'4. Quarterly'!R42="Yes"),5,IF(AND('4. Quarterly'!S42="Yes",'4. Quarterly'!T42="Yes",'4. Quarterly'!U42="Yes",'4. Quarterly'!E42="Yes",Z42="Yes",'4. Quarterly'!R42="Yes"),4,IF(AND('4. Quarterly'!E42="Yes",Z42="Yes",'4. Quarterly'!R42="Yes"),3,IF(OR(Z42="Yes",'4. Quarterly'!R42="Yes",'4. Quarterly'!E42="Yes"),2,1)))))</f>
        <v/>
      </c>
      <c r="Q42" s="24">
        <f>IF($A42="","",IF(AA42&lt;&gt;"Yes",1,IF(AB42&lt;&gt;"Yes",2,IF(AND('4. Quarterly'!AA42="Yes",'4. Quarterly'!Y42="Yes",'4. Quarterly'!Z42="Yes",ISNUMBER(M42),M42&gt;='10. Thresholds'!$B$7,ISNUMBER(L42),L42&lt;='10. Thresholds'!$B$8),5,IF(AND('4. Quarterly'!Y42="Yes",'4. Quarterly'!Z42="Yes",ISNUMBER(M42),M42&gt;='10. Thresholds'!$B$6),4,3)))))</f>
        <v/>
      </c>
      <c r="R42" s="24">
        <f>IF($A42="","",IF(AND('4. Quarterly'!C42="Yes",'4. Quarterly'!D42="Yes",'4. Quarterly'!E42="Yes",'4. Quarterly'!F42="Yes",'4. Quarterly'!G42="Yes",'4. Quarterly'!H42="Yes",'4. Quarterly'!I42="Yes",'4. Quarterly'!J42="Yes"),5,IF(AND('4. Quarterly'!C42="Yes",'4. Quarterly'!D42="Yes",'4. Quarterly'!E42="Yes",'4. Quarterly'!F42="Yes",'4. Quarterly'!G42="Yes"),4,IF(AND('4. Quarterly'!C42="Yes",'4. Quarterly'!D42="Yes",'4. Quarterly'!E42="Yes"),3,IF(COUNTIF('4. Quarterly'!C42:J42,"Yes")&gt;=2,2,1)))))</f>
        <v/>
      </c>
      <c r="S42" s="24">
        <f>IF($A42="","",MIN(R42,P42,ROUND(AVERAGE(N42,O42,P42,Q42,R42),0)))</f>
        <v/>
      </c>
      <c r="T42" s="4">
        <f>IF($A42="","",$A42&amp;"|"&amp;$B42)</f>
        <v/>
      </c>
      <c r="U42" s="4">
        <f>IF($A42="","No",IF(COUNTIFS('3. Monthly'!$A$4:$A$203,$A42,'3. Monthly'!$C$4:$C$203,$B42,'3. Monthly'!$E$4:$E$203,"&gt;0")&gt;0,"Yes","No"))</f>
        <v/>
      </c>
      <c r="V42" s="4">
        <f>IF($A42="","No",IF(COUNTIFS('3. Monthly'!$A$4:$A$203,$A42,'3. Monthly'!$C$4:$C$203,$B42,'3. Monthly'!$I$4:$I$203,"&gt;0")&gt;0,"Yes","No"))</f>
        <v/>
      </c>
      <c r="W42" s="4">
        <f>IF($A42="","No",IF(COUNTIFS('3. Monthly'!$A$4:$A$203,$A42,'3. Monthly'!$C$4:$C$203,$B42,'3. Monthly'!$K$4:$K$203,"&gt;=0",'3. Monthly'!$L$4:$L$203,"&gt;0")&gt;0,"Yes","No"))</f>
        <v/>
      </c>
      <c r="X42" s="4">
        <f>IF($A42="","No",IF(COUNTIFS('3. Monthly'!$A$4:$A$203,$A42,'3. Monthly'!$C$4:$C$203,$B42,'3. Monthly'!$J$4:$J$203,"&gt;=0",'3. Monthly'!$K$4:$K$203,"&gt;=0",'3. Monthly'!$M$4:$M$203,"&gt;=0",'3. Monthly'!$N$4:$N$203,"&gt;=0",'3. Monthly'!$L$4:$L$203,"&gt;0")&gt;0,"Yes","No"))</f>
        <v/>
      </c>
      <c r="Y42" s="4">
        <f>IF($A42="","No",IF(COUNTIFS('3. Monthly'!$A$4:$A$203,$A42,'3. Monthly'!$C$4:$C$203,$B42,'3. Monthly'!$O$4:$O$203,"&gt;0")&gt;0,"Yes","No"))</f>
        <v/>
      </c>
      <c r="Z42" s="4">
        <f>IF($A42="","No",IF(COUNTIFS('3. Monthly'!$A$4:$A$203,$A42,'3. Monthly'!$C$4:$C$203,$B42,'3. Monthly'!$Q$4:$Q$203,"&gt;=0",'3. Monthly'!$G$4:$G$203,"&gt;0")&gt;0,"Yes","No"))</f>
        <v/>
      </c>
      <c r="AA42" s="4">
        <f>IF($A42="","No",IF(COUNTIFS('3. Monthly'!$A$4:$A$203,$A42,'3. Monthly'!$C$4:$C$203,$B42,'3. Monthly'!$H$4:$H$203,"&gt;0")&gt;0,"Yes","No"))</f>
        <v/>
      </c>
      <c r="AB42" s="4">
        <f>IF($A42="","No",IF(COUNTIFS('3. Monthly'!$A$4:$A$203,$A42,'3. Monthly'!$C$4:$C$203,$B42,'3. Monthly'!$U$4:$U$203,"&gt;=0",'3. Monthly'!$V$4:$V$203,"&gt;=0",'3. Monthly'!$H$4:$H$203,"&gt;0")&gt;0,"Yes","No"))</f>
        <v/>
      </c>
    </row>
    <row r="43">
      <c r="A43" s="4">
        <f>'4. Quarterly'!A43</f>
        <v/>
      </c>
      <c r="B43" s="4">
        <f>'4. Quarterly'!B43</f>
        <v/>
      </c>
      <c r="C43" s="4">
        <f>IFERROR(VLOOKUP($A43,'2. Projects'!$A$3:$B$20,2,0),"")</f>
        <v/>
      </c>
      <c r="D43" s="21">
        <f>IF($A43="","",IFERROR(AVERAGEIFS('5. Metrics'!$D$4:$D$203,'5. Metrics'!$A$4:$A$203,$A43,'5. Metrics'!$C$4:$C$203,$B43),""))</f>
        <v/>
      </c>
      <c r="E43" s="21">
        <f>IF($A43="","",IFERROR(AVERAGEIFS('5. Metrics'!$E$4:$E$203,'5. Metrics'!$A$4:$A$203,$A43,'5. Metrics'!$C$4:$C$203,$B43),""))</f>
        <v/>
      </c>
      <c r="F43" s="21">
        <f>IF($A43="","",IFERROR(AVERAGEIFS('5. Metrics'!$F$4:$F$203,'5. Metrics'!$A$4:$A$203,$A43,'5. Metrics'!$C$4:$C$203,$B43),""))</f>
        <v/>
      </c>
      <c r="G43" s="21">
        <f>IF($A43="","",IFERROR(AVERAGEIFS('5. Metrics'!$I$4:$I$203,'5. Metrics'!$A$4:$A$203,$A43,'5. Metrics'!$C$4:$C$203,$B43),""))</f>
        <v/>
      </c>
      <c r="H43" s="21">
        <f>IF($A43="","",IFERROR(AVERAGEIFS('5. Metrics'!$L$4:$L$203,'5. Metrics'!$A$4:$A$203,$A43,'5. Metrics'!$C$4:$C$203,$B43),""))</f>
        <v/>
      </c>
      <c r="I43" s="21">
        <f>IF($A43="","",IFERROR(AVERAGEIFS('5. Metrics'!$M$4:$M$203,'5. Metrics'!$A$4:$A$203,$A43,'5. Metrics'!$C$4:$C$203,$B43),""))</f>
        <v/>
      </c>
      <c r="J43" s="21">
        <f>IF($A43="","",IFERROR(AVERAGEIFS('5. Metrics'!$N$4:$N$203,'5. Metrics'!$A$4:$A$203,$A43,'5. Metrics'!$C$4:$C$203,$B43),""))</f>
        <v/>
      </c>
      <c r="K43" s="21">
        <f>IF($A43="","",IFERROR(AVERAGEIFS('5. Metrics'!$P$4:$P$203,'5. Metrics'!$A$4:$A$203,$A43,'5. Metrics'!$C$4:$C$203,$B43),""))</f>
        <v/>
      </c>
      <c r="L43" s="21">
        <f>IF($A43="","",IFERROR(AVERAGEIFS('5. Metrics'!$Q$4:$Q$203,'5. Metrics'!$A$4:$A$203,$A43,'5. Metrics'!$C$4:$C$203,$B43),""))</f>
        <v/>
      </c>
      <c r="M43" s="21">
        <f>IF($A43="","",IFERROR(AVERAGEIFS('5. Metrics'!$R$4:$R$203,'5. Metrics'!$A$4:$A$203,$A43,'5. Metrics'!$C$4:$C$203,$B43),""))</f>
        <v/>
      </c>
      <c r="N43" s="24">
        <f>IF($A43="","",IF('4. Quarterly'!L43="Yes",5,IF(AND(ISNUMBER(E43),E43&gt;'10. Thresholds'!$B$4,V43="Yes"),4,IF(AND('4. Quarterly'!K43="Yes",ISNUMBER(E43),E43&gt;='10. Thresholds'!$B$3),3,IF(AND(U43="Yes",ISNUMBER(D43),D43&gt;='10. Thresholds'!$B$5),2,1)))))</f>
        <v/>
      </c>
      <c r="O43" s="24">
        <f>IF($A43="","",IF(AND('4. Quarterly'!P43="Yes",'4. Quarterly'!Q43="Yes",'4. Quarterly'!M43="Yes",'4. Quarterly'!N43="Yes",'4. Quarterly'!O43="Yes",X43="Yes",Y43="Yes"),5,IF(AND('4. Quarterly'!M43="Yes",'4. Quarterly'!N43="Yes",'4. Quarterly'!O43="Yes",X43="Yes",Y43="Yes"),4,IF(AND(X43="Yes",Y43="Yes"),3,IF(W43="Yes",2,1)))))</f>
        <v/>
      </c>
      <c r="P43" s="24">
        <f>IF($A43="","",IF(AND('4. Quarterly'!V43="Yes",'4. Quarterly'!W43="Yes",'4. Quarterly'!X43="Yes",'4. Quarterly'!S43="Yes",'4. Quarterly'!T43="Yes",'4. Quarterly'!U43="Yes",'4. Quarterly'!E43="Yes",Z43="Yes",'4. Quarterly'!R43="Yes"),5,IF(AND('4. Quarterly'!S43="Yes",'4. Quarterly'!T43="Yes",'4. Quarterly'!U43="Yes",'4. Quarterly'!E43="Yes",Z43="Yes",'4. Quarterly'!R43="Yes"),4,IF(AND('4. Quarterly'!E43="Yes",Z43="Yes",'4. Quarterly'!R43="Yes"),3,IF(OR(Z43="Yes",'4. Quarterly'!R43="Yes",'4. Quarterly'!E43="Yes"),2,1)))))</f>
        <v/>
      </c>
      <c r="Q43" s="24">
        <f>IF($A43="","",IF(AA43&lt;&gt;"Yes",1,IF(AB43&lt;&gt;"Yes",2,IF(AND('4. Quarterly'!AA43="Yes",'4. Quarterly'!Y43="Yes",'4. Quarterly'!Z43="Yes",ISNUMBER(M43),M43&gt;='10. Thresholds'!$B$7,ISNUMBER(L43),L43&lt;='10. Thresholds'!$B$8),5,IF(AND('4. Quarterly'!Y43="Yes",'4. Quarterly'!Z43="Yes",ISNUMBER(M43),M43&gt;='10. Thresholds'!$B$6),4,3)))))</f>
        <v/>
      </c>
      <c r="R43" s="24">
        <f>IF($A43="","",IF(AND('4. Quarterly'!C43="Yes",'4. Quarterly'!D43="Yes",'4. Quarterly'!E43="Yes",'4. Quarterly'!F43="Yes",'4. Quarterly'!G43="Yes",'4. Quarterly'!H43="Yes",'4. Quarterly'!I43="Yes",'4. Quarterly'!J43="Yes"),5,IF(AND('4. Quarterly'!C43="Yes",'4. Quarterly'!D43="Yes",'4. Quarterly'!E43="Yes",'4. Quarterly'!F43="Yes",'4. Quarterly'!G43="Yes"),4,IF(AND('4. Quarterly'!C43="Yes",'4. Quarterly'!D43="Yes",'4. Quarterly'!E43="Yes"),3,IF(COUNTIF('4. Quarterly'!C43:J43,"Yes")&gt;=2,2,1)))))</f>
        <v/>
      </c>
      <c r="S43" s="24">
        <f>IF($A43="","",MIN(R43,P43,ROUND(AVERAGE(N43,O43,P43,Q43,R43),0)))</f>
        <v/>
      </c>
      <c r="T43" s="4">
        <f>IF($A43="","",$A43&amp;"|"&amp;$B43)</f>
        <v/>
      </c>
      <c r="U43" s="4">
        <f>IF($A43="","No",IF(COUNTIFS('3. Monthly'!$A$4:$A$203,$A43,'3. Monthly'!$C$4:$C$203,$B43,'3. Monthly'!$E$4:$E$203,"&gt;0")&gt;0,"Yes","No"))</f>
        <v/>
      </c>
      <c r="V43" s="4">
        <f>IF($A43="","No",IF(COUNTIFS('3. Monthly'!$A$4:$A$203,$A43,'3. Monthly'!$C$4:$C$203,$B43,'3. Monthly'!$I$4:$I$203,"&gt;0")&gt;0,"Yes","No"))</f>
        <v/>
      </c>
      <c r="W43" s="4">
        <f>IF($A43="","No",IF(COUNTIFS('3. Monthly'!$A$4:$A$203,$A43,'3. Monthly'!$C$4:$C$203,$B43,'3. Monthly'!$K$4:$K$203,"&gt;=0",'3. Monthly'!$L$4:$L$203,"&gt;0")&gt;0,"Yes","No"))</f>
        <v/>
      </c>
      <c r="X43" s="4">
        <f>IF($A43="","No",IF(COUNTIFS('3. Monthly'!$A$4:$A$203,$A43,'3. Monthly'!$C$4:$C$203,$B43,'3. Monthly'!$J$4:$J$203,"&gt;=0",'3. Monthly'!$K$4:$K$203,"&gt;=0",'3. Monthly'!$M$4:$M$203,"&gt;=0",'3. Monthly'!$N$4:$N$203,"&gt;=0",'3. Monthly'!$L$4:$L$203,"&gt;0")&gt;0,"Yes","No"))</f>
        <v/>
      </c>
      <c r="Y43" s="4">
        <f>IF($A43="","No",IF(COUNTIFS('3. Monthly'!$A$4:$A$203,$A43,'3. Monthly'!$C$4:$C$203,$B43,'3. Monthly'!$O$4:$O$203,"&gt;0")&gt;0,"Yes","No"))</f>
        <v/>
      </c>
      <c r="Z43" s="4">
        <f>IF($A43="","No",IF(COUNTIFS('3. Monthly'!$A$4:$A$203,$A43,'3. Monthly'!$C$4:$C$203,$B43,'3. Monthly'!$Q$4:$Q$203,"&gt;=0",'3. Monthly'!$G$4:$G$203,"&gt;0")&gt;0,"Yes","No"))</f>
        <v/>
      </c>
      <c r="AA43" s="4">
        <f>IF($A43="","No",IF(COUNTIFS('3. Monthly'!$A$4:$A$203,$A43,'3. Monthly'!$C$4:$C$203,$B43,'3. Monthly'!$H$4:$H$203,"&gt;0")&gt;0,"Yes","No"))</f>
        <v/>
      </c>
      <c r="AB43" s="4">
        <f>IF($A43="","No",IF(COUNTIFS('3. Monthly'!$A$4:$A$203,$A43,'3. Monthly'!$C$4:$C$203,$B43,'3. Monthly'!$U$4:$U$203,"&gt;=0",'3. Monthly'!$V$4:$V$203,"&gt;=0",'3. Monthly'!$H$4:$H$203,"&gt;0")&gt;0,"Yes","No"))</f>
        <v/>
      </c>
    </row>
    <row r="44">
      <c r="A44" s="4">
        <f>'4. Quarterly'!A44</f>
        <v/>
      </c>
      <c r="B44" s="4">
        <f>'4. Quarterly'!B44</f>
        <v/>
      </c>
      <c r="C44" s="4">
        <f>IFERROR(VLOOKUP($A44,'2. Projects'!$A$3:$B$20,2,0),"")</f>
        <v/>
      </c>
      <c r="D44" s="21">
        <f>IF($A44="","",IFERROR(AVERAGEIFS('5. Metrics'!$D$4:$D$203,'5. Metrics'!$A$4:$A$203,$A44,'5. Metrics'!$C$4:$C$203,$B44),""))</f>
        <v/>
      </c>
      <c r="E44" s="21">
        <f>IF($A44="","",IFERROR(AVERAGEIFS('5. Metrics'!$E$4:$E$203,'5. Metrics'!$A$4:$A$203,$A44,'5. Metrics'!$C$4:$C$203,$B44),""))</f>
        <v/>
      </c>
      <c r="F44" s="21">
        <f>IF($A44="","",IFERROR(AVERAGEIFS('5. Metrics'!$F$4:$F$203,'5. Metrics'!$A$4:$A$203,$A44,'5. Metrics'!$C$4:$C$203,$B44),""))</f>
        <v/>
      </c>
      <c r="G44" s="21">
        <f>IF($A44="","",IFERROR(AVERAGEIFS('5. Metrics'!$I$4:$I$203,'5. Metrics'!$A$4:$A$203,$A44,'5. Metrics'!$C$4:$C$203,$B44),""))</f>
        <v/>
      </c>
      <c r="H44" s="21">
        <f>IF($A44="","",IFERROR(AVERAGEIFS('5. Metrics'!$L$4:$L$203,'5. Metrics'!$A$4:$A$203,$A44,'5. Metrics'!$C$4:$C$203,$B44),""))</f>
        <v/>
      </c>
      <c r="I44" s="21">
        <f>IF($A44="","",IFERROR(AVERAGEIFS('5. Metrics'!$M$4:$M$203,'5. Metrics'!$A$4:$A$203,$A44,'5. Metrics'!$C$4:$C$203,$B44),""))</f>
        <v/>
      </c>
      <c r="J44" s="21">
        <f>IF($A44="","",IFERROR(AVERAGEIFS('5. Metrics'!$N$4:$N$203,'5. Metrics'!$A$4:$A$203,$A44,'5. Metrics'!$C$4:$C$203,$B44),""))</f>
        <v/>
      </c>
      <c r="K44" s="21">
        <f>IF($A44="","",IFERROR(AVERAGEIFS('5. Metrics'!$P$4:$P$203,'5. Metrics'!$A$4:$A$203,$A44,'5. Metrics'!$C$4:$C$203,$B44),""))</f>
        <v/>
      </c>
      <c r="L44" s="21">
        <f>IF($A44="","",IFERROR(AVERAGEIFS('5. Metrics'!$Q$4:$Q$203,'5. Metrics'!$A$4:$A$203,$A44,'5. Metrics'!$C$4:$C$203,$B44),""))</f>
        <v/>
      </c>
      <c r="M44" s="21">
        <f>IF($A44="","",IFERROR(AVERAGEIFS('5. Metrics'!$R$4:$R$203,'5. Metrics'!$A$4:$A$203,$A44,'5. Metrics'!$C$4:$C$203,$B44),""))</f>
        <v/>
      </c>
      <c r="N44" s="24">
        <f>IF($A44="","",IF('4. Quarterly'!L44="Yes",5,IF(AND(ISNUMBER(E44),E44&gt;'10. Thresholds'!$B$4,V44="Yes"),4,IF(AND('4. Quarterly'!K44="Yes",ISNUMBER(E44),E44&gt;='10. Thresholds'!$B$3),3,IF(AND(U44="Yes",ISNUMBER(D44),D44&gt;='10. Thresholds'!$B$5),2,1)))))</f>
        <v/>
      </c>
      <c r="O44" s="24">
        <f>IF($A44="","",IF(AND('4. Quarterly'!P44="Yes",'4. Quarterly'!Q44="Yes",'4. Quarterly'!M44="Yes",'4. Quarterly'!N44="Yes",'4. Quarterly'!O44="Yes",X44="Yes",Y44="Yes"),5,IF(AND('4. Quarterly'!M44="Yes",'4. Quarterly'!N44="Yes",'4. Quarterly'!O44="Yes",X44="Yes",Y44="Yes"),4,IF(AND(X44="Yes",Y44="Yes"),3,IF(W44="Yes",2,1)))))</f>
        <v/>
      </c>
      <c r="P44" s="24">
        <f>IF($A44="","",IF(AND('4. Quarterly'!V44="Yes",'4. Quarterly'!W44="Yes",'4. Quarterly'!X44="Yes",'4. Quarterly'!S44="Yes",'4. Quarterly'!T44="Yes",'4. Quarterly'!U44="Yes",'4. Quarterly'!E44="Yes",Z44="Yes",'4. Quarterly'!R44="Yes"),5,IF(AND('4. Quarterly'!S44="Yes",'4. Quarterly'!T44="Yes",'4. Quarterly'!U44="Yes",'4. Quarterly'!E44="Yes",Z44="Yes",'4. Quarterly'!R44="Yes"),4,IF(AND('4. Quarterly'!E44="Yes",Z44="Yes",'4. Quarterly'!R44="Yes"),3,IF(OR(Z44="Yes",'4. Quarterly'!R44="Yes",'4. Quarterly'!E44="Yes"),2,1)))))</f>
        <v/>
      </c>
      <c r="Q44" s="24">
        <f>IF($A44="","",IF(AA44&lt;&gt;"Yes",1,IF(AB44&lt;&gt;"Yes",2,IF(AND('4. Quarterly'!AA44="Yes",'4. Quarterly'!Y44="Yes",'4. Quarterly'!Z44="Yes",ISNUMBER(M44),M44&gt;='10. Thresholds'!$B$7,ISNUMBER(L44),L44&lt;='10. Thresholds'!$B$8),5,IF(AND('4. Quarterly'!Y44="Yes",'4. Quarterly'!Z44="Yes",ISNUMBER(M44),M44&gt;='10. Thresholds'!$B$6),4,3)))))</f>
        <v/>
      </c>
      <c r="R44" s="24">
        <f>IF($A44="","",IF(AND('4. Quarterly'!C44="Yes",'4. Quarterly'!D44="Yes",'4. Quarterly'!E44="Yes",'4. Quarterly'!F44="Yes",'4. Quarterly'!G44="Yes",'4. Quarterly'!H44="Yes",'4. Quarterly'!I44="Yes",'4. Quarterly'!J44="Yes"),5,IF(AND('4. Quarterly'!C44="Yes",'4. Quarterly'!D44="Yes",'4. Quarterly'!E44="Yes",'4. Quarterly'!F44="Yes",'4. Quarterly'!G44="Yes"),4,IF(AND('4. Quarterly'!C44="Yes",'4. Quarterly'!D44="Yes",'4. Quarterly'!E44="Yes"),3,IF(COUNTIF('4. Quarterly'!C44:J44,"Yes")&gt;=2,2,1)))))</f>
        <v/>
      </c>
      <c r="S44" s="24">
        <f>IF($A44="","",MIN(R44,P44,ROUND(AVERAGE(N44,O44,P44,Q44,R44),0)))</f>
        <v/>
      </c>
      <c r="T44" s="4">
        <f>IF($A44="","",$A44&amp;"|"&amp;$B44)</f>
        <v/>
      </c>
      <c r="U44" s="4">
        <f>IF($A44="","No",IF(COUNTIFS('3. Monthly'!$A$4:$A$203,$A44,'3. Monthly'!$C$4:$C$203,$B44,'3. Monthly'!$E$4:$E$203,"&gt;0")&gt;0,"Yes","No"))</f>
        <v/>
      </c>
      <c r="V44" s="4">
        <f>IF($A44="","No",IF(COUNTIFS('3. Monthly'!$A$4:$A$203,$A44,'3. Monthly'!$C$4:$C$203,$B44,'3. Monthly'!$I$4:$I$203,"&gt;0")&gt;0,"Yes","No"))</f>
        <v/>
      </c>
      <c r="W44" s="4">
        <f>IF($A44="","No",IF(COUNTIFS('3. Monthly'!$A$4:$A$203,$A44,'3. Monthly'!$C$4:$C$203,$B44,'3. Monthly'!$K$4:$K$203,"&gt;=0",'3. Monthly'!$L$4:$L$203,"&gt;0")&gt;0,"Yes","No"))</f>
        <v/>
      </c>
      <c r="X44" s="4">
        <f>IF($A44="","No",IF(COUNTIFS('3. Monthly'!$A$4:$A$203,$A44,'3. Monthly'!$C$4:$C$203,$B44,'3. Monthly'!$J$4:$J$203,"&gt;=0",'3. Monthly'!$K$4:$K$203,"&gt;=0",'3. Monthly'!$M$4:$M$203,"&gt;=0",'3. Monthly'!$N$4:$N$203,"&gt;=0",'3. Monthly'!$L$4:$L$203,"&gt;0")&gt;0,"Yes","No"))</f>
        <v/>
      </c>
      <c r="Y44" s="4">
        <f>IF($A44="","No",IF(COUNTIFS('3. Monthly'!$A$4:$A$203,$A44,'3. Monthly'!$C$4:$C$203,$B44,'3. Monthly'!$O$4:$O$203,"&gt;0")&gt;0,"Yes","No"))</f>
        <v/>
      </c>
      <c r="Z44" s="4">
        <f>IF($A44="","No",IF(COUNTIFS('3. Monthly'!$A$4:$A$203,$A44,'3. Monthly'!$C$4:$C$203,$B44,'3. Monthly'!$Q$4:$Q$203,"&gt;=0",'3. Monthly'!$G$4:$G$203,"&gt;0")&gt;0,"Yes","No"))</f>
        <v/>
      </c>
      <c r="AA44" s="4">
        <f>IF($A44="","No",IF(COUNTIFS('3. Monthly'!$A$4:$A$203,$A44,'3. Monthly'!$C$4:$C$203,$B44,'3. Monthly'!$H$4:$H$203,"&gt;0")&gt;0,"Yes","No"))</f>
        <v/>
      </c>
      <c r="AB44" s="4">
        <f>IF($A44="","No",IF(COUNTIFS('3. Monthly'!$A$4:$A$203,$A44,'3. Monthly'!$C$4:$C$203,$B44,'3. Monthly'!$U$4:$U$203,"&gt;=0",'3. Monthly'!$V$4:$V$203,"&gt;=0",'3. Monthly'!$H$4:$H$203,"&gt;0")&gt;0,"Yes","No"))</f>
        <v/>
      </c>
    </row>
    <row r="45">
      <c r="A45" s="4">
        <f>'4. Quarterly'!A45</f>
        <v/>
      </c>
      <c r="B45" s="4">
        <f>'4. Quarterly'!B45</f>
        <v/>
      </c>
      <c r="C45" s="4">
        <f>IFERROR(VLOOKUP($A45,'2. Projects'!$A$3:$B$20,2,0),"")</f>
        <v/>
      </c>
      <c r="D45" s="21">
        <f>IF($A45="","",IFERROR(AVERAGEIFS('5. Metrics'!$D$4:$D$203,'5. Metrics'!$A$4:$A$203,$A45,'5. Metrics'!$C$4:$C$203,$B45),""))</f>
        <v/>
      </c>
      <c r="E45" s="21">
        <f>IF($A45="","",IFERROR(AVERAGEIFS('5. Metrics'!$E$4:$E$203,'5. Metrics'!$A$4:$A$203,$A45,'5. Metrics'!$C$4:$C$203,$B45),""))</f>
        <v/>
      </c>
      <c r="F45" s="21">
        <f>IF($A45="","",IFERROR(AVERAGEIFS('5. Metrics'!$F$4:$F$203,'5. Metrics'!$A$4:$A$203,$A45,'5. Metrics'!$C$4:$C$203,$B45),""))</f>
        <v/>
      </c>
      <c r="G45" s="21">
        <f>IF($A45="","",IFERROR(AVERAGEIFS('5. Metrics'!$I$4:$I$203,'5. Metrics'!$A$4:$A$203,$A45,'5. Metrics'!$C$4:$C$203,$B45),""))</f>
        <v/>
      </c>
      <c r="H45" s="21">
        <f>IF($A45="","",IFERROR(AVERAGEIFS('5. Metrics'!$L$4:$L$203,'5. Metrics'!$A$4:$A$203,$A45,'5. Metrics'!$C$4:$C$203,$B45),""))</f>
        <v/>
      </c>
      <c r="I45" s="21">
        <f>IF($A45="","",IFERROR(AVERAGEIFS('5. Metrics'!$M$4:$M$203,'5. Metrics'!$A$4:$A$203,$A45,'5. Metrics'!$C$4:$C$203,$B45),""))</f>
        <v/>
      </c>
      <c r="J45" s="21">
        <f>IF($A45="","",IFERROR(AVERAGEIFS('5. Metrics'!$N$4:$N$203,'5. Metrics'!$A$4:$A$203,$A45,'5. Metrics'!$C$4:$C$203,$B45),""))</f>
        <v/>
      </c>
      <c r="K45" s="21">
        <f>IF($A45="","",IFERROR(AVERAGEIFS('5. Metrics'!$P$4:$P$203,'5. Metrics'!$A$4:$A$203,$A45,'5. Metrics'!$C$4:$C$203,$B45),""))</f>
        <v/>
      </c>
      <c r="L45" s="21">
        <f>IF($A45="","",IFERROR(AVERAGEIFS('5. Metrics'!$Q$4:$Q$203,'5. Metrics'!$A$4:$A$203,$A45,'5. Metrics'!$C$4:$C$203,$B45),""))</f>
        <v/>
      </c>
      <c r="M45" s="21">
        <f>IF($A45="","",IFERROR(AVERAGEIFS('5. Metrics'!$R$4:$R$203,'5. Metrics'!$A$4:$A$203,$A45,'5. Metrics'!$C$4:$C$203,$B45),""))</f>
        <v/>
      </c>
      <c r="N45" s="24">
        <f>IF($A45="","",IF('4. Quarterly'!L45="Yes",5,IF(AND(ISNUMBER(E45),E45&gt;'10. Thresholds'!$B$4,V45="Yes"),4,IF(AND('4. Quarterly'!K45="Yes",ISNUMBER(E45),E45&gt;='10. Thresholds'!$B$3),3,IF(AND(U45="Yes",ISNUMBER(D45),D45&gt;='10. Thresholds'!$B$5),2,1)))))</f>
        <v/>
      </c>
      <c r="O45" s="24">
        <f>IF($A45="","",IF(AND('4. Quarterly'!P45="Yes",'4. Quarterly'!Q45="Yes",'4. Quarterly'!M45="Yes",'4. Quarterly'!N45="Yes",'4. Quarterly'!O45="Yes",X45="Yes",Y45="Yes"),5,IF(AND('4. Quarterly'!M45="Yes",'4. Quarterly'!N45="Yes",'4. Quarterly'!O45="Yes",X45="Yes",Y45="Yes"),4,IF(AND(X45="Yes",Y45="Yes"),3,IF(W45="Yes",2,1)))))</f>
        <v/>
      </c>
      <c r="P45" s="24">
        <f>IF($A45="","",IF(AND('4. Quarterly'!V45="Yes",'4. Quarterly'!W45="Yes",'4. Quarterly'!X45="Yes",'4. Quarterly'!S45="Yes",'4. Quarterly'!T45="Yes",'4. Quarterly'!U45="Yes",'4. Quarterly'!E45="Yes",Z45="Yes",'4. Quarterly'!R45="Yes"),5,IF(AND('4. Quarterly'!S45="Yes",'4. Quarterly'!T45="Yes",'4. Quarterly'!U45="Yes",'4. Quarterly'!E45="Yes",Z45="Yes",'4. Quarterly'!R45="Yes"),4,IF(AND('4. Quarterly'!E45="Yes",Z45="Yes",'4. Quarterly'!R45="Yes"),3,IF(OR(Z45="Yes",'4. Quarterly'!R45="Yes",'4. Quarterly'!E45="Yes"),2,1)))))</f>
        <v/>
      </c>
      <c r="Q45" s="24">
        <f>IF($A45="","",IF(AA45&lt;&gt;"Yes",1,IF(AB45&lt;&gt;"Yes",2,IF(AND('4. Quarterly'!AA45="Yes",'4. Quarterly'!Y45="Yes",'4. Quarterly'!Z45="Yes",ISNUMBER(M45),M45&gt;='10. Thresholds'!$B$7,ISNUMBER(L45),L45&lt;='10. Thresholds'!$B$8),5,IF(AND('4. Quarterly'!Y45="Yes",'4. Quarterly'!Z45="Yes",ISNUMBER(M45),M45&gt;='10. Thresholds'!$B$6),4,3)))))</f>
        <v/>
      </c>
      <c r="R45" s="24">
        <f>IF($A45="","",IF(AND('4. Quarterly'!C45="Yes",'4. Quarterly'!D45="Yes",'4. Quarterly'!E45="Yes",'4. Quarterly'!F45="Yes",'4. Quarterly'!G45="Yes",'4. Quarterly'!H45="Yes",'4. Quarterly'!I45="Yes",'4. Quarterly'!J45="Yes"),5,IF(AND('4. Quarterly'!C45="Yes",'4. Quarterly'!D45="Yes",'4. Quarterly'!E45="Yes",'4. Quarterly'!F45="Yes",'4. Quarterly'!G45="Yes"),4,IF(AND('4. Quarterly'!C45="Yes",'4. Quarterly'!D45="Yes",'4. Quarterly'!E45="Yes"),3,IF(COUNTIF('4. Quarterly'!C45:J45,"Yes")&gt;=2,2,1)))))</f>
        <v/>
      </c>
      <c r="S45" s="24">
        <f>IF($A45="","",MIN(R45,P45,ROUND(AVERAGE(N45,O45,P45,Q45,R45),0)))</f>
        <v/>
      </c>
      <c r="T45" s="4">
        <f>IF($A45="","",$A45&amp;"|"&amp;$B45)</f>
        <v/>
      </c>
      <c r="U45" s="4">
        <f>IF($A45="","No",IF(COUNTIFS('3. Monthly'!$A$4:$A$203,$A45,'3. Monthly'!$C$4:$C$203,$B45,'3. Monthly'!$E$4:$E$203,"&gt;0")&gt;0,"Yes","No"))</f>
        <v/>
      </c>
      <c r="V45" s="4">
        <f>IF($A45="","No",IF(COUNTIFS('3. Monthly'!$A$4:$A$203,$A45,'3. Monthly'!$C$4:$C$203,$B45,'3. Monthly'!$I$4:$I$203,"&gt;0")&gt;0,"Yes","No"))</f>
        <v/>
      </c>
      <c r="W45" s="4">
        <f>IF($A45="","No",IF(COUNTIFS('3. Monthly'!$A$4:$A$203,$A45,'3. Monthly'!$C$4:$C$203,$B45,'3. Monthly'!$K$4:$K$203,"&gt;=0",'3. Monthly'!$L$4:$L$203,"&gt;0")&gt;0,"Yes","No"))</f>
        <v/>
      </c>
      <c r="X45" s="4">
        <f>IF($A45="","No",IF(COUNTIFS('3. Monthly'!$A$4:$A$203,$A45,'3. Monthly'!$C$4:$C$203,$B45,'3. Monthly'!$J$4:$J$203,"&gt;=0",'3. Monthly'!$K$4:$K$203,"&gt;=0",'3. Monthly'!$M$4:$M$203,"&gt;=0",'3. Monthly'!$N$4:$N$203,"&gt;=0",'3. Monthly'!$L$4:$L$203,"&gt;0")&gt;0,"Yes","No"))</f>
        <v/>
      </c>
      <c r="Y45" s="4">
        <f>IF($A45="","No",IF(COUNTIFS('3. Monthly'!$A$4:$A$203,$A45,'3. Monthly'!$C$4:$C$203,$B45,'3. Monthly'!$O$4:$O$203,"&gt;0")&gt;0,"Yes","No"))</f>
        <v/>
      </c>
      <c r="Z45" s="4">
        <f>IF($A45="","No",IF(COUNTIFS('3. Monthly'!$A$4:$A$203,$A45,'3. Monthly'!$C$4:$C$203,$B45,'3. Monthly'!$Q$4:$Q$203,"&gt;=0",'3. Monthly'!$G$4:$G$203,"&gt;0")&gt;0,"Yes","No"))</f>
        <v/>
      </c>
      <c r="AA45" s="4">
        <f>IF($A45="","No",IF(COUNTIFS('3. Monthly'!$A$4:$A$203,$A45,'3. Monthly'!$C$4:$C$203,$B45,'3. Monthly'!$H$4:$H$203,"&gt;0")&gt;0,"Yes","No"))</f>
        <v/>
      </c>
      <c r="AB45" s="4">
        <f>IF($A45="","No",IF(COUNTIFS('3. Monthly'!$A$4:$A$203,$A45,'3. Monthly'!$C$4:$C$203,$B45,'3. Monthly'!$U$4:$U$203,"&gt;=0",'3. Monthly'!$V$4:$V$203,"&gt;=0",'3. Monthly'!$H$4:$H$203,"&gt;0")&gt;0,"Yes","No"))</f>
        <v/>
      </c>
    </row>
    <row r="46">
      <c r="A46" s="4">
        <f>'4. Quarterly'!A46</f>
        <v/>
      </c>
      <c r="B46" s="4">
        <f>'4. Quarterly'!B46</f>
        <v/>
      </c>
      <c r="C46" s="4">
        <f>IFERROR(VLOOKUP($A46,'2. Projects'!$A$3:$B$20,2,0),"")</f>
        <v/>
      </c>
      <c r="D46" s="21">
        <f>IF($A46="","",IFERROR(AVERAGEIFS('5. Metrics'!$D$4:$D$203,'5. Metrics'!$A$4:$A$203,$A46,'5. Metrics'!$C$4:$C$203,$B46),""))</f>
        <v/>
      </c>
      <c r="E46" s="21">
        <f>IF($A46="","",IFERROR(AVERAGEIFS('5. Metrics'!$E$4:$E$203,'5. Metrics'!$A$4:$A$203,$A46,'5. Metrics'!$C$4:$C$203,$B46),""))</f>
        <v/>
      </c>
      <c r="F46" s="21">
        <f>IF($A46="","",IFERROR(AVERAGEIFS('5. Metrics'!$F$4:$F$203,'5. Metrics'!$A$4:$A$203,$A46,'5. Metrics'!$C$4:$C$203,$B46),""))</f>
        <v/>
      </c>
      <c r="G46" s="21">
        <f>IF($A46="","",IFERROR(AVERAGEIFS('5. Metrics'!$I$4:$I$203,'5. Metrics'!$A$4:$A$203,$A46,'5. Metrics'!$C$4:$C$203,$B46),""))</f>
        <v/>
      </c>
      <c r="H46" s="21">
        <f>IF($A46="","",IFERROR(AVERAGEIFS('5. Metrics'!$L$4:$L$203,'5. Metrics'!$A$4:$A$203,$A46,'5. Metrics'!$C$4:$C$203,$B46),""))</f>
        <v/>
      </c>
      <c r="I46" s="21">
        <f>IF($A46="","",IFERROR(AVERAGEIFS('5. Metrics'!$M$4:$M$203,'5. Metrics'!$A$4:$A$203,$A46,'5. Metrics'!$C$4:$C$203,$B46),""))</f>
        <v/>
      </c>
      <c r="J46" s="21">
        <f>IF($A46="","",IFERROR(AVERAGEIFS('5. Metrics'!$N$4:$N$203,'5. Metrics'!$A$4:$A$203,$A46,'5. Metrics'!$C$4:$C$203,$B46),""))</f>
        <v/>
      </c>
      <c r="K46" s="21">
        <f>IF($A46="","",IFERROR(AVERAGEIFS('5. Metrics'!$P$4:$P$203,'5. Metrics'!$A$4:$A$203,$A46,'5. Metrics'!$C$4:$C$203,$B46),""))</f>
        <v/>
      </c>
      <c r="L46" s="21">
        <f>IF($A46="","",IFERROR(AVERAGEIFS('5. Metrics'!$Q$4:$Q$203,'5. Metrics'!$A$4:$A$203,$A46,'5. Metrics'!$C$4:$C$203,$B46),""))</f>
        <v/>
      </c>
      <c r="M46" s="21">
        <f>IF($A46="","",IFERROR(AVERAGEIFS('5. Metrics'!$R$4:$R$203,'5. Metrics'!$A$4:$A$203,$A46,'5. Metrics'!$C$4:$C$203,$B46),""))</f>
        <v/>
      </c>
      <c r="N46" s="24">
        <f>IF($A46="","",IF('4. Quarterly'!L46="Yes",5,IF(AND(ISNUMBER(E46),E46&gt;'10. Thresholds'!$B$4,V46="Yes"),4,IF(AND('4. Quarterly'!K46="Yes",ISNUMBER(E46),E46&gt;='10. Thresholds'!$B$3),3,IF(AND(U46="Yes",ISNUMBER(D46),D46&gt;='10. Thresholds'!$B$5),2,1)))))</f>
        <v/>
      </c>
      <c r="O46" s="24">
        <f>IF($A46="","",IF(AND('4. Quarterly'!P46="Yes",'4. Quarterly'!Q46="Yes",'4. Quarterly'!M46="Yes",'4. Quarterly'!N46="Yes",'4. Quarterly'!O46="Yes",X46="Yes",Y46="Yes"),5,IF(AND('4. Quarterly'!M46="Yes",'4. Quarterly'!N46="Yes",'4. Quarterly'!O46="Yes",X46="Yes",Y46="Yes"),4,IF(AND(X46="Yes",Y46="Yes"),3,IF(W46="Yes",2,1)))))</f>
        <v/>
      </c>
      <c r="P46" s="24">
        <f>IF($A46="","",IF(AND('4. Quarterly'!V46="Yes",'4. Quarterly'!W46="Yes",'4. Quarterly'!X46="Yes",'4. Quarterly'!S46="Yes",'4. Quarterly'!T46="Yes",'4. Quarterly'!U46="Yes",'4. Quarterly'!E46="Yes",Z46="Yes",'4. Quarterly'!R46="Yes"),5,IF(AND('4. Quarterly'!S46="Yes",'4. Quarterly'!T46="Yes",'4. Quarterly'!U46="Yes",'4. Quarterly'!E46="Yes",Z46="Yes",'4. Quarterly'!R46="Yes"),4,IF(AND('4. Quarterly'!E46="Yes",Z46="Yes",'4. Quarterly'!R46="Yes"),3,IF(OR(Z46="Yes",'4. Quarterly'!R46="Yes",'4. Quarterly'!E46="Yes"),2,1)))))</f>
        <v/>
      </c>
      <c r="Q46" s="24">
        <f>IF($A46="","",IF(AA46&lt;&gt;"Yes",1,IF(AB46&lt;&gt;"Yes",2,IF(AND('4. Quarterly'!AA46="Yes",'4. Quarterly'!Y46="Yes",'4. Quarterly'!Z46="Yes",ISNUMBER(M46),M46&gt;='10. Thresholds'!$B$7,ISNUMBER(L46),L46&lt;='10. Thresholds'!$B$8),5,IF(AND('4. Quarterly'!Y46="Yes",'4. Quarterly'!Z46="Yes",ISNUMBER(M46),M46&gt;='10. Thresholds'!$B$6),4,3)))))</f>
        <v/>
      </c>
      <c r="R46" s="24">
        <f>IF($A46="","",IF(AND('4. Quarterly'!C46="Yes",'4. Quarterly'!D46="Yes",'4. Quarterly'!E46="Yes",'4. Quarterly'!F46="Yes",'4. Quarterly'!G46="Yes",'4. Quarterly'!H46="Yes",'4. Quarterly'!I46="Yes",'4. Quarterly'!J46="Yes"),5,IF(AND('4. Quarterly'!C46="Yes",'4. Quarterly'!D46="Yes",'4. Quarterly'!E46="Yes",'4. Quarterly'!F46="Yes",'4. Quarterly'!G46="Yes"),4,IF(AND('4. Quarterly'!C46="Yes",'4. Quarterly'!D46="Yes",'4. Quarterly'!E46="Yes"),3,IF(COUNTIF('4. Quarterly'!C46:J46,"Yes")&gt;=2,2,1)))))</f>
        <v/>
      </c>
      <c r="S46" s="24">
        <f>IF($A46="","",MIN(R46,P46,ROUND(AVERAGE(N46,O46,P46,Q46,R46),0)))</f>
        <v/>
      </c>
      <c r="T46" s="4">
        <f>IF($A46="","",$A46&amp;"|"&amp;$B46)</f>
        <v/>
      </c>
      <c r="U46" s="4">
        <f>IF($A46="","No",IF(COUNTIFS('3. Monthly'!$A$4:$A$203,$A46,'3. Monthly'!$C$4:$C$203,$B46,'3. Monthly'!$E$4:$E$203,"&gt;0")&gt;0,"Yes","No"))</f>
        <v/>
      </c>
      <c r="V46" s="4">
        <f>IF($A46="","No",IF(COUNTIFS('3. Monthly'!$A$4:$A$203,$A46,'3. Monthly'!$C$4:$C$203,$B46,'3. Monthly'!$I$4:$I$203,"&gt;0")&gt;0,"Yes","No"))</f>
        <v/>
      </c>
      <c r="W46" s="4">
        <f>IF($A46="","No",IF(COUNTIFS('3. Monthly'!$A$4:$A$203,$A46,'3. Monthly'!$C$4:$C$203,$B46,'3. Monthly'!$K$4:$K$203,"&gt;=0",'3. Monthly'!$L$4:$L$203,"&gt;0")&gt;0,"Yes","No"))</f>
        <v/>
      </c>
      <c r="X46" s="4">
        <f>IF($A46="","No",IF(COUNTIFS('3. Monthly'!$A$4:$A$203,$A46,'3. Monthly'!$C$4:$C$203,$B46,'3. Monthly'!$J$4:$J$203,"&gt;=0",'3. Monthly'!$K$4:$K$203,"&gt;=0",'3. Monthly'!$M$4:$M$203,"&gt;=0",'3. Monthly'!$N$4:$N$203,"&gt;=0",'3. Monthly'!$L$4:$L$203,"&gt;0")&gt;0,"Yes","No"))</f>
        <v/>
      </c>
      <c r="Y46" s="4">
        <f>IF($A46="","No",IF(COUNTIFS('3. Monthly'!$A$4:$A$203,$A46,'3. Monthly'!$C$4:$C$203,$B46,'3. Monthly'!$O$4:$O$203,"&gt;0")&gt;0,"Yes","No"))</f>
        <v/>
      </c>
      <c r="Z46" s="4">
        <f>IF($A46="","No",IF(COUNTIFS('3. Monthly'!$A$4:$A$203,$A46,'3. Monthly'!$C$4:$C$203,$B46,'3. Monthly'!$Q$4:$Q$203,"&gt;=0",'3. Monthly'!$G$4:$G$203,"&gt;0")&gt;0,"Yes","No"))</f>
        <v/>
      </c>
      <c r="AA46" s="4">
        <f>IF($A46="","No",IF(COUNTIFS('3. Monthly'!$A$4:$A$203,$A46,'3. Monthly'!$C$4:$C$203,$B46,'3. Monthly'!$H$4:$H$203,"&gt;0")&gt;0,"Yes","No"))</f>
        <v/>
      </c>
      <c r="AB46" s="4">
        <f>IF($A46="","No",IF(COUNTIFS('3. Monthly'!$A$4:$A$203,$A46,'3. Monthly'!$C$4:$C$203,$B46,'3. Monthly'!$U$4:$U$203,"&gt;=0",'3. Monthly'!$V$4:$V$203,"&gt;=0",'3. Monthly'!$H$4:$H$203,"&gt;0")&gt;0,"Yes","No"))</f>
        <v/>
      </c>
    </row>
    <row r="47">
      <c r="A47" s="4">
        <f>'4. Quarterly'!A47</f>
        <v/>
      </c>
      <c r="B47" s="4">
        <f>'4. Quarterly'!B47</f>
        <v/>
      </c>
      <c r="C47" s="4">
        <f>IFERROR(VLOOKUP($A47,'2. Projects'!$A$3:$B$20,2,0),"")</f>
        <v/>
      </c>
      <c r="D47" s="21">
        <f>IF($A47="","",IFERROR(AVERAGEIFS('5. Metrics'!$D$4:$D$203,'5. Metrics'!$A$4:$A$203,$A47,'5. Metrics'!$C$4:$C$203,$B47),""))</f>
        <v/>
      </c>
      <c r="E47" s="21">
        <f>IF($A47="","",IFERROR(AVERAGEIFS('5. Metrics'!$E$4:$E$203,'5. Metrics'!$A$4:$A$203,$A47,'5. Metrics'!$C$4:$C$203,$B47),""))</f>
        <v/>
      </c>
      <c r="F47" s="21">
        <f>IF($A47="","",IFERROR(AVERAGEIFS('5. Metrics'!$F$4:$F$203,'5. Metrics'!$A$4:$A$203,$A47,'5. Metrics'!$C$4:$C$203,$B47),""))</f>
        <v/>
      </c>
      <c r="G47" s="21">
        <f>IF($A47="","",IFERROR(AVERAGEIFS('5. Metrics'!$I$4:$I$203,'5. Metrics'!$A$4:$A$203,$A47,'5. Metrics'!$C$4:$C$203,$B47),""))</f>
        <v/>
      </c>
      <c r="H47" s="21">
        <f>IF($A47="","",IFERROR(AVERAGEIFS('5. Metrics'!$L$4:$L$203,'5. Metrics'!$A$4:$A$203,$A47,'5. Metrics'!$C$4:$C$203,$B47),""))</f>
        <v/>
      </c>
      <c r="I47" s="21">
        <f>IF($A47="","",IFERROR(AVERAGEIFS('5. Metrics'!$M$4:$M$203,'5. Metrics'!$A$4:$A$203,$A47,'5. Metrics'!$C$4:$C$203,$B47),""))</f>
        <v/>
      </c>
      <c r="J47" s="21">
        <f>IF($A47="","",IFERROR(AVERAGEIFS('5. Metrics'!$N$4:$N$203,'5. Metrics'!$A$4:$A$203,$A47,'5. Metrics'!$C$4:$C$203,$B47),""))</f>
        <v/>
      </c>
      <c r="K47" s="21">
        <f>IF($A47="","",IFERROR(AVERAGEIFS('5. Metrics'!$P$4:$P$203,'5. Metrics'!$A$4:$A$203,$A47,'5. Metrics'!$C$4:$C$203,$B47),""))</f>
        <v/>
      </c>
      <c r="L47" s="21">
        <f>IF($A47="","",IFERROR(AVERAGEIFS('5. Metrics'!$Q$4:$Q$203,'5. Metrics'!$A$4:$A$203,$A47,'5. Metrics'!$C$4:$C$203,$B47),""))</f>
        <v/>
      </c>
      <c r="M47" s="21">
        <f>IF($A47="","",IFERROR(AVERAGEIFS('5. Metrics'!$R$4:$R$203,'5. Metrics'!$A$4:$A$203,$A47,'5. Metrics'!$C$4:$C$203,$B47),""))</f>
        <v/>
      </c>
      <c r="N47" s="24">
        <f>IF($A47="","",IF('4. Quarterly'!L47="Yes",5,IF(AND(ISNUMBER(E47),E47&gt;'10. Thresholds'!$B$4,V47="Yes"),4,IF(AND('4. Quarterly'!K47="Yes",ISNUMBER(E47),E47&gt;='10. Thresholds'!$B$3),3,IF(AND(U47="Yes",ISNUMBER(D47),D47&gt;='10. Thresholds'!$B$5),2,1)))))</f>
        <v/>
      </c>
      <c r="O47" s="24">
        <f>IF($A47="","",IF(AND('4. Quarterly'!P47="Yes",'4. Quarterly'!Q47="Yes",'4. Quarterly'!M47="Yes",'4. Quarterly'!N47="Yes",'4. Quarterly'!O47="Yes",X47="Yes",Y47="Yes"),5,IF(AND('4. Quarterly'!M47="Yes",'4. Quarterly'!N47="Yes",'4. Quarterly'!O47="Yes",X47="Yes",Y47="Yes"),4,IF(AND(X47="Yes",Y47="Yes"),3,IF(W47="Yes",2,1)))))</f>
        <v/>
      </c>
      <c r="P47" s="24">
        <f>IF($A47="","",IF(AND('4. Quarterly'!V47="Yes",'4. Quarterly'!W47="Yes",'4. Quarterly'!X47="Yes",'4. Quarterly'!S47="Yes",'4. Quarterly'!T47="Yes",'4. Quarterly'!U47="Yes",'4. Quarterly'!E47="Yes",Z47="Yes",'4. Quarterly'!R47="Yes"),5,IF(AND('4. Quarterly'!S47="Yes",'4. Quarterly'!T47="Yes",'4. Quarterly'!U47="Yes",'4. Quarterly'!E47="Yes",Z47="Yes",'4. Quarterly'!R47="Yes"),4,IF(AND('4. Quarterly'!E47="Yes",Z47="Yes",'4. Quarterly'!R47="Yes"),3,IF(OR(Z47="Yes",'4. Quarterly'!R47="Yes",'4. Quarterly'!E47="Yes"),2,1)))))</f>
        <v/>
      </c>
      <c r="Q47" s="24">
        <f>IF($A47="","",IF(AA47&lt;&gt;"Yes",1,IF(AB47&lt;&gt;"Yes",2,IF(AND('4. Quarterly'!AA47="Yes",'4. Quarterly'!Y47="Yes",'4. Quarterly'!Z47="Yes",ISNUMBER(M47),M47&gt;='10. Thresholds'!$B$7,ISNUMBER(L47),L47&lt;='10. Thresholds'!$B$8),5,IF(AND('4. Quarterly'!Y47="Yes",'4. Quarterly'!Z47="Yes",ISNUMBER(M47),M47&gt;='10. Thresholds'!$B$6),4,3)))))</f>
        <v/>
      </c>
      <c r="R47" s="24">
        <f>IF($A47="","",IF(AND('4. Quarterly'!C47="Yes",'4. Quarterly'!D47="Yes",'4. Quarterly'!E47="Yes",'4. Quarterly'!F47="Yes",'4. Quarterly'!G47="Yes",'4. Quarterly'!H47="Yes",'4. Quarterly'!I47="Yes",'4. Quarterly'!J47="Yes"),5,IF(AND('4. Quarterly'!C47="Yes",'4. Quarterly'!D47="Yes",'4. Quarterly'!E47="Yes",'4. Quarterly'!F47="Yes",'4. Quarterly'!G47="Yes"),4,IF(AND('4. Quarterly'!C47="Yes",'4. Quarterly'!D47="Yes",'4. Quarterly'!E47="Yes"),3,IF(COUNTIF('4. Quarterly'!C47:J47,"Yes")&gt;=2,2,1)))))</f>
        <v/>
      </c>
      <c r="S47" s="24">
        <f>IF($A47="","",MIN(R47,P47,ROUND(AVERAGE(N47,O47,P47,Q47,R47),0)))</f>
        <v/>
      </c>
      <c r="T47" s="4">
        <f>IF($A47="","",$A47&amp;"|"&amp;$B47)</f>
        <v/>
      </c>
      <c r="U47" s="4">
        <f>IF($A47="","No",IF(COUNTIFS('3. Monthly'!$A$4:$A$203,$A47,'3. Monthly'!$C$4:$C$203,$B47,'3. Monthly'!$E$4:$E$203,"&gt;0")&gt;0,"Yes","No"))</f>
        <v/>
      </c>
      <c r="V47" s="4">
        <f>IF($A47="","No",IF(COUNTIFS('3. Monthly'!$A$4:$A$203,$A47,'3. Monthly'!$C$4:$C$203,$B47,'3. Monthly'!$I$4:$I$203,"&gt;0")&gt;0,"Yes","No"))</f>
        <v/>
      </c>
      <c r="W47" s="4">
        <f>IF($A47="","No",IF(COUNTIFS('3. Monthly'!$A$4:$A$203,$A47,'3. Monthly'!$C$4:$C$203,$B47,'3. Monthly'!$K$4:$K$203,"&gt;=0",'3. Monthly'!$L$4:$L$203,"&gt;0")&gt;0,"Yes","No"))</f>
        <v/>
      </c>
      <c r="X47" s="4">
        <f>IF($A47="","No",IF(COUNTIFS('3. Monthly'!$A$4:$A$203,$A47,'3. Monthly'!$C$4:$C$203,$B47,'3. Monthly'!$J$4:$J$203,"&gt;=0",'3. Monthly'!$K$4:$K$203,"&gt;=0",'3. Monthly'!$M$4:$M$203,"&gt;=0",'3. Monthly'!$N$4:$N$203,"&gt;=0",'3. Monthly'!$L$4:$L$203,"&gt;0")&gt;0,"Yes","No"))</f>
        <v/>
      </c>
      <c r="Y47" s="4">
        <f>IF($A47="","No",IF(COUNTIFS('3. Monthly'!$A$4:$A$203,$A47,'3. Monthly'!$C$4:$C$203,$B47,'3. Monthly'!$O$4:$O$203,"&gt;0")&gt;0,"Yes","No"))</f>
        <v/>
      </c>
      <c r="Z47" s="4">
        <f>IF($A47="","No",IF(COUNTIFS('3. Monthly'!$A$4:$A$203,$A47,'3. Monthly'!$C$4:$C$203,$B47,'3. Monthly'!$Q$4:$Q$203,"&gt;=0",'3. Monthly'!$G$4:$G$203,"&gt;0")&gt;0,"Yes","No"))</f>
        <v/>
      </c>
      <c r="AA47" s="4">
        <f>IF($A47="","No",IF(COUNTIFS('3. Monthly'!$A$4:$A$203,$A47,'3. Monthly'!$C$4:$C$203,$B47,'3. Monthly'!$H$4:$H$203,"&gt;0")&gt;0,"Yes","No"))</f>
        <v/>
      </c>
      <c r="AB47" s="4">
        <f>IF($A47="","No",IF(COUNTIFS('3. Monthly'!$A$4:$A$203,$A47,'3. Monthly'!$C$4:$C$203,$B47,'3. Monthly'!$U$4:$U$203,"&gt;=0",'3. Monthly'!$V$4:$V$203,"&gt;=0",'3. Monthly'!$H$4:$H$203,"&gt;0")&gt;0,"Yes","No"))</f>
        <v/>
      </c>
    </row>
    <row r="48">
      <c r="A48" s="4">
        <f>'4. Quarterly'!A48</f>
        <v/>
      </c>
      <c r="B48" s="4">
        <f>'4. Quarterly'!B48</f>
        <v/>
      </c>
      <c r="C48" s="4">
        <f>IFERROR(VLOOKUP($A48,'2. Projects'!$A$3:$B$20,2,0),"")</f>
        <v/>
      </c>
      <c r="D48" s="21">
        <f>IF($A48="","",IFERROR(AVERAGEIFS('5. Metrics'!$D$4:$D$203,'5. Metrics'!$A$4:$A$203,$A48,'5. Metrics'!$C$4:$C$203,$B48),""))</f>
        <v/>
      </c>
      <c r="E48" s="21">
        <f>IF($A48="","",IFERROR(AVERAGEIFS('5. Metrics'!$E$4:$E$203,'5. Metrics'!$A$4:$A$203,$A48,'5. Metrics'!$C$4:$C$203,$B48),""))</f>
        <v/>
      </c>
      <c r="F48" s="21">
        <f>IF($A48="","",IFERROR(AVERAGEIFS('5. Metrics'!$F$4:$F$203,'5. Metrics'!$A$4:$A$203,$A48,'5. Metrics'!$C$4:$C$203,$B48),""))</f>
        <v/>
      </c>
      <c r="G48" s="21">
        <f>IF($A48="","",IFERROR(AVERAGEIFS('5. Metrics'!$I$4:$I$203,'5. Metrics'!$A$4:$A$203,$A48,'5. Metrics'!$C$4:$C$203,$B48),""))</f>
        <v/>
      </c>
      <c r="H48" s="21">
        <f>IF($A48="","",IFERROR(AVERAGEIFS('5. Metrics'!$L$4:$L$203,'5. Metrics'!$A$4:$A$203,$A48,'5. Metrics'!$C$4:$C$203,$B48),""))</f>
        <v/>
      </c>
      <c r="I48" s="21">
        <f>IF($A48="","",IFERROR(AVERAGEIFS('5. Metrics'!$M$4:$M$203,'5. Metrics'!$A$4:$A$203,$A48,'5. Metrics'!$C$4:$C$203,$B48),""))</f>
        <v/>
      </c>
      <c r="J48" s="21">
        <f>IF($A48="","",IFERROR(AVERAGEIFS('5. Metrics'!$N$4:$N$203,'5. Metrics'!$A$4:$A$203,$A48,'5. Metrics'!$C$4:$C$203,$B48),""))</f>
        <v/>
      </c>
      <c r="K48" s="21">
        <f>IF($A48="","",IFERROR(AVERAGEIFS('5. Metrics'!$P$4:$P$203,'5. Metrics'!$A$4:$A$203,$A48,'5. Metrics'!$C$4:$C$203,$B48),""))</f>
        <v/>
      </c>
      <c r="L48" s="21">
        <f>IF($A48="","",IFERROR(AVERAGEIFS('5. Metrics'!$Q$4:$Q$203,'5. Metrics'!$A$4:$A$203,$A48,'5. Metrics'!$C$4:$C$203,$B48),""))</f>
        <v/>
      </c>
      <c r="M48" s="21">
        <f>IF($A48="","",IFERROR(AVERAGEIFS('5. Metrics'!$R$4:$R$203,'5. Metrics'!$A$4:$A$203,$A48,'5. Metrics'!$C$4:$C$203,$B48),""))</f>
        <v/>
      </c>
      <c r="N48" s="24">
        <f>IF($A48="","",IF('4. Quarterly'!L48="Yes",5,IF(AND(ISNUMBER(E48),E48&gt;'10. Thresholds'!$B$4,V48="Yes"),4,IF(AND('4. Quarterly'!K48="Yes",ISNUMBER(E48),E48&gt;='10. Thresholds'!$B$3),3,IF(AND(U48="Yes",ISNUMBER(D48),D48&gt;='10. Thresholds'!$B$5),2,1)))))</f>
        <v/>
      </c>
      <c r="O48" s="24">
        <f>IF($A48="","",IF(AND('4. Quarterly'!P48="Yes",'4. Quarterly'!Q48="Yes",'4. Quarterly'!M48="Yes",'4. Quarterly'!N48="Yes",'4. Quarterly'!O48="Yes",X48="Yes",Y48="Yes"),5,IF(AND('4. Quarterly'!M48="Yes",'4. Quarterly'!N48="Yes",'4. Quarterly'!O48="Yes",X48="Yes",Y48="Yes"),4,IF(AND(X48="Yes",Y48="Yes"),3,IF(W48="Yes",2,1)))))</f>
        <v/>
      </c>
      <c r="P48" s="24">
        <f>IF($A48="","",IF(AND('4. Quarterly'!V48="Yes",'4. Quarterly'!W48="Yes",'4. Quarterly'!X48="Yes",'4. Quarterly'!S48="Yes",'4. Quarterly'!T48="Yes",'4. Quarterly'!U48="Yes",'4. Quarterly'!E48="Yes",Z48="Yes",'4. Quarterly'!R48="Yes"),5,IF(AND('4. Quarterly'!S48="Yes",'4. Quarterly'!T48="Yes",'4. Quarterly'!U48="Yes",'4. Quarterly'!E48="Yes",Z48="Yes",'4. Quarterly'!R48="Yes"),4,IF(AND('4. Quarterly'!E48="Yes",Z48="Yes",'4. Quarterly'!R48="Yes"),3,IF(OR(Z48="Yes",'4. Quarterly'!R48="Yes",'4. Quarterly'!E48="Yes"),2,1)))))</f>
        <v/>
      </c>
      <c r="Q48" s="24">
        <f>IF($A48="","",IF(AA48&lt;&gt;"Yes",1,IF(AB48&lt;&gt;"Yes",2,IF(AND('4. Quarterly'!AA48="Yes",'4. Quarterly'!Y48="Yes",'4. Quarterly'!Z48="Yes",ISNUMBER(M48),M48&gt;='10. Thresholds'!$B$7,ISNUMBER(L48),L48&lt;='10. Thresholds'!$B$8),5,IF(AND('4. Quarterly'!Y48="Yes",'4. Quarterly'!Z48="Yes",ISNUMBER(M48),M48&gt;='10. Thresholds'!$B$6),4,3)))))</f>
        <v/>
      </c>
      <c r="R48" s="24">
        <f>IF($A48="","",IF(AND('4. Quarterly'!C48="Yes",'4. Quarterly'!D48="Yes",'4. Quarterly'!E48="Yes",'4. Quarterly'!F48="Yes",'4. Quarterly'!G48="Yes",'4. Quarterly'!H48="Yes",'4. Quarterly'!I48="Yes",'4. Quarterly'!J48="Yes"),5,IF(AND('4. Quarterly'!C48="Yes",'4. Quarterly'!D48="Yes",'4. Quarterly'!E48="Yes",'4. Quarterly'!F48="Yes",'4. Quarterly'!G48="Yes"),4,IF(AND('4. Quarterly'!C48="Yes",'4. Quarterly'!D48="Yes",'4. Quarterly'!E48="Yes"),3,IF(COUNTIF('4. Quarterly'!C48:J48,"Yes")&gt;=2,2,1)))))</f>
        <v/>
      </c>
      <c r="S48" s="24">
        <f>IF($A48="","",MIN(R48,P48,ROUND(AVERAGE(N48,O48,P48,Q48,R48),0)))</f>
        <v/>
      </c>
      <c r="T48" s="4">
        <f>IF($A48="","",$A48&amp;"|"&amp;$B48)</f>
        <v/>
      </c>
      <c r="U48" s="4">
        <f>IF($A48="","No",IF(COUNTIFS('3. Monthly'!$A$4:$A$203,$A48,'3. Monthly'!$C$4:$C$203,$B48,'3. Monthly'!$E$4:$E$203,"&gt;0")&gt;0,"Yes","No"))</f>
        <v/>
      </c>
      <c r="V48" s="4">
        <f>IF($A48="","No",IF(COUNTIFS('3. Monthly'!$A$4:$A$203,$A48,'3. Monthly'!$C$4:$C$203,$B48,'3. Monthly'!$I$4:$I$203,"&gt;0")&gt;0,"Yes","No"))</f>
        <v/>
      </c>
      <c r="W48" s="4">
        <f>IF($A48="","No",IF(COUNTIFS('3. Monthly'!$A$4:$A$203,$A48,'3. Monthly'!$C$4:$C$203,$B48,'3. Monthly'!$K$4:$K$203,"&gt;=0",'3. Monthly'!$L$4:$L$203,"&gt;0")&gt;0,"Yes","No"))</f>
        <v/>
      </c>
      <c r="X48" s="4">
        <f>IF($A48="","No",IF(COUNTIFS('3. Monthly'!$A$4:$A$203,$A48,'3. Monthly'!$C$4:$C$203,$B48,'3. Monthly'!$J$4:$J$203,"&gt;=0",'3. Monthly'!$K$4:$K$203,"&gt;=0",'3. Monthly'!$M$4:$M$203,"&gt;=0",'3. Monthly'!$N$4:$N$203,"&gt;=0",'3. Monthly'!$L$4:$L$203,"&gt;0")&gt;0,"Yes","No"))</f>
        <v/>
      </c>
      <c r="Y48" s="4">
        <f>IF($A48="","No",IF(COUNTIFS('3. Monthly'!$A$4:$A$203,$A48,'3. Monthly'!$C$4:$C$203,$B48,'3. Monthly'!$O$4:$O$203,"&gt;0")&gt;0,"Yes","No"))</f>
        <v/>
      </c>
      <c r="Z48" s="4">
        <f>IF($A48="","No",IF(COUNTIFS('3. Monthly'!$A$4:$A$203,$A48,'3. Monthly'!$C$4:$C$203,$B48,'3. Monthly'!$Q$4:$Q$203,"&gt;=0",'3. Monthly'!$G$4:$G$203,"&gt;0")&gt;0,"Yes","No"))</f>
        <v/>
      </c>
      <c r="AA48" s="4">
        <f>IF($A48="","No",IF(COUNTIFS('3. Monthly'!$A$4:$A$203,$A48,'3. Monthly'!$C$4:$C$203,$B48,'3. Monthly'!$H$4:$H$203,"&gt;0")&gt;0,"Yes","No"))</f>
        <v/>
      </c>
      <c r="AB48" s="4">
        <f>IF($A48="","No",IF(COUNTIFS('3. Monthly'!$A$4:$A$203,$A48,'3. Monthly'!$C$4:$C$203,$B48,'3. Monthly'!$U$4:$U$203,"&gt;=0",'3. Monthly'!$V$4:$V$203,"&gt;=0",'3. Monthly'!$H$4:$H$203,"&gt;0")&gt;0,"Yes","No"))</f>
        <v/>
      </c>
    </row>
    <row r="49">
      <c r="A49" s="4">
        <f>'4. Quarterly'!A49</f>
        <v/>
      </c>
      <c r="B49" s="4">
        <f>'4. Quarterly'!B49</f>
        <v/>
      </c>
      <c r="C49" s="4">
        <f>IFERROR(VLOOKUP($A49,'2. Projects'!$A$3:$B$20,2,0),"")</f>
        <v/>
      </c>
      <c r="D49" s="21">
        <f>IF($A49="","",IFERROR(AVERAGEIFS('5. Metrics'!$D$4:$D$203,'5. Metrics'!$A$4:$A$203,$A49,'5. Metrics'!$C$4:$C$203,$B49),""))</f>
        <v/>
      </c>
      <c r="E49" s="21">
        <f>IF($A49="","",IFERROR(AVERAGEIFS('5. Metrics'!$E$4:$E$203,'5. Metrics'!$A$4:$A$203,$A49,'5. Metrics'!$C$4:$C$203,$B49),""))</f>
        <v/>
      </c>
      <c r="F49" s="21">
        <f>IF($A49="","",IFERROR(AVERAGEIFS('5. Metrics'!$F$4:$F$203,'5. Metrics'!$A$4:$A$203,$A49,'5. Metrics'!$C$4:$C$203,$B49),""))</f>
        <v/>
      </c>
      <c r="G49" s="21">
        <f>IF($A49="","",IFERROR(AVERAGEIFS('5. Metrics'!$I$4:$I$203,'5. Metrics'!$A$4:$A$203,$A49,'5. Metrics'!$C$4:$C$203,$B49),""))</f>
        <v/>
      </c>
      <c r="H49" s="21">
        <f>IF($A49="","",IFERROR(AVERAGEIFS('5. Metrics'!$L$4:$L$203,'5. Metrics'!$A$4:$A$203,$A49,'5. Metrics'!$C$4:$C$203,$B49),""))</f>
        <v/>
      </c>
      <c r="I49" s="21">
        <f>IF($A49="","",IFERROR(AVERAGEIFS('5. Metrics'!$M$4:$M$203,'5. Metrics'!$A$4:$A$203,$A49,'5. Metrics'!$C$4:$C$203,$B49),""))</f>
        <v/>
      </c>
      <c r="J49" s="21">
        <f>IF($A49="","",IFERROR(AVERAGEIFS('5. Metrics'!$N$4:$N$203,'5. Metrics'!$A$4:$A$203,$A49,'5. Metrics'!$C$4:$C$203,$B49),""))</f>
        <v/>
      </c>
      <c r="K49" s="21">
        <f>IF($A49="","",IFERROR(AVERAGEIFS('5. Metrics'!$P$4:$P$203,'5. Metrics'!$A$4:$A$203,$A49,'5. Metrics'!$C$4:$C$203,$B49),""))</f>
        <v/>
      </c>
      <c r="L49" s="21">
        <f>IF($A49="","",IFERROR(AVERAGEIFS('5. Metrics'!$Q$4:$Q$203,'5. Metrics'!$A$4:$A$203,$A49,'5. Metrics'!$C$4:$C$203,$B49),""))</f>
        <v/>
      </c>
      <c r="M49" s="21">
        <f>IF($A49="","",IFERROR(AVERAGEIFS('5. Metrics'!$R$4:$R$203,'5. Metrics'!$A$4:$A$203,$A49,'5. Metrics'!$C$4:$C$203,$B49),""))</f>
        <v/>
      </c>
      <c r="N49" s="24">
        <f>IF($A49="","",IF('4. Quarterly'!L49="Yes",5,IF(AND(ISNUMBER(E49),E49&gt;'10. Thresholds'!$B$4,V49="Yes"),4,IF(AND('4. Quarterly'!K49="Yes",ISNUMBER(E49),E49&gt;='10. Thresholds'!$B$3),3,IF(AND(U49="Yes",ISNUMBER(D49),D49&gt;='10. Thresholds'!$B$5),2,1)))))</f>
        <v/>
      </c>
      <c r="O49" s="24">
        <f>IF($A49="","",IF(AND('4. Quarterly'!P49="Yes",'4. Quarterly'!Q49="Yes",'4. Quarterly'!M49="Yes",'4. Quarterly'!N49="Yes",'4. Quarterly'!O49="Yes",X49="Yes",Y49="Yes"),5,IF(AND('4. Quarterly'!M49="Yes",'4. Quarterly'!N49="Yes",'4. Quarterly'!O49="Yes",X49="Yes",Y49="Yes"),4,IF(AND(X49="Yes",Y49="Yes"),3,IF(W49="Yes",2,1)))))</f>
        <v/>
      </c>
      <c r="P49" s="24">
        <f>IF($A49="","",IF(AND('4. Quarterly'!V49="Yes",'4. Quarterly'!W49="Yes",'4. Quarterly'!X49="Yes",'4. Quarterly'!S49="Yes",'4. Quarterly'!T49="Yes",'4. Quarterly'!U49="Yes",'4. Quarterly'!E49="Yes",Z49="Yes",'4. Quarterly'!R49="Yes"),5,IF(AND('4. Quarterly'!S49="Yes",'4. Quarterly'!T49="Yes",'4. Quarterly'!U49="Yes",'4. Quarterly'!E49="Yes",Z49="Yes",'4. Quarterly'!R49="Yes"),4,IF(AND('4. Quarterly'!E49="Yes",Z49="Yes",'4. Quarterly'!R49="Yes"),3,IF(OR(Z49="Yes",'4. Quarterly'!R49="Yes",'4. Quarterly'!E49="Yes"),2,1)))))</f>
        <v/>
      </c>
      <c r="Q49" s="24">
        <f>IF($A49="","",IF(AA49&lt;&gt;"Yes",1,IF(AB49&lt;&gt;"Yes",2,IF(AND('4. Quarterly'!AA49="Yes",'4. Quarterly'!Y49="Yes",'4. Quarterly'!Z49="Yes",ISNUMBER(M49),M49&gt;='10. Thresholds'!$B$7,ISNUMBER(L49),L49&lt;='10. Thresholds'!$B$8),5,IF(AND('4. Quarterly'!Y49="Yes",'4. Quarterly'!Z49="Yes",ISNUMBER(M49),M49&gt;='10. Thresholds'!$B$6),4,3)))))</f>
        <v/>
      </c>
      <c r="R49" s="24">
        <f>IF($A49="","",IF(AND('4. Quarterly'!C49="Yes",'4. Quarterly'!D49="Yes",'4. Quarterly'!E49="Yes",'4. Quarterly'!F49="Yes",'4. Quarterly'!G49="Yes",'4. Quarterly'!H49="Yes",'4. Quarterly'!I49="Yes",'4. Quarterly'!J49="Yes"),5,IF(AND('4. Quarterly'!C49="Yes",'4. Quarterly'!D49="Yes",'4. Quarterly'!E49="Yes",'4. Quarterly'!F49="Yes",'4. Quarterly'!G49="Yes"),4,IF(AND('4. Quarterly'!C49="Yes",'4. Quarterly'!D49="Yes",'4. Quarterly'!E49="Yes"),3,IF(COUNTIF('4. Quarterly'!C49:J49,"Yes")&gt;=2,2,1)))))</f>
        <v/>
      </c>
      <c r="S49" s="24">
        <f>IF($A49="","",MIN(R49,P49,ROUND(AVERAGE(N49,O49,P49,Q49,R49),0)))</f>
        <v/>
      </c>
      <c r="T49" s="4">
        <f>IF($A49="","",$A49&amp;"|"&amp;$B49)</f>
        <v/>
      </c>
      <c r="U49" s="4">
        <f>IF($A49="","No",IF(COUNTIFS('3. Monthly'!$A$4:$A$203,$A49,'3. Monthly'!$C$4:$C$203,$B49,'3. Monthly'!$E$4:$E$203,"&gt;0")&gt;0,"Yes","No"))</f>
        <v/>
      </c>
      <c r="V49" s="4">
        <f>IF($A49="","No",IF(COUNTIFS('3. Monthly'!$A$4:$A$203,$A49,'3. Monthly'!$C$4:$C$203,$B49,'3. Monthly'!$I$4:$I$203,"&gt;0")&gt;0,"Yes","No"))</f>
        <v/>
      </c>
      <c r="W49" s="4">
        <f>IF($A49="","No",IF(COUNTIFS('3. Monthly'!$A$4:$A$203,$A49,'3. Monthly'!$C$4:$C$203,$B49,'3. Monthly'!$K$4:$K$203,"&gt;=0",'3. Monthly'!$L$4:$L$203,"&gt;0")&gt;0,"Yes","No"))</f>
        <v/>
      </c>
      <c r="X49" s="4">
        <f>IF($A49="","No",IF(COUNTIFS('3. Monthly'!$A$4:$A$203,$A49,'3. Monthly'!$C$4:$C$203,$B49,'3. Monthly'!$J$4:$J$203,"&gt;=0",'3. Monthly'!$K$4:$K$203,"&gt;=0",'3. Monthly'!$M$4:$M$203,"&gt;=0",'3. Monthly'!$N$4:$N$203,"&gt;=0",'3. Monthly'!$L$4:$L$203,"&gt;0")&gt;0,"Yes","No"))</f>
        <v/>
      </c>
      <c r="Y49" s="4">
        <f>IF($A49="","No",IF(COUNTIFS('3. Monthly'!$A$4:$A$203,$A49,'3. Monthly'!$C$4:$C$203,$B49,'3. Monthly'!$O$4:$O$203,"&gt;0")&gt;0,"Yes","No"))</f>
        <v/>
      </c>
      <c r="Z49" s="4">
        <f>IF($A49="","No",IF(COUNTIFS('3. Monthly'!$A$4:$A$203,$A49,'3. Monthly'!$C$4:$C$203,$B49,'3. Monthly'!$Q$4:$Q$203,"&gt;=0",'3. Monthly'!$G$4:$G$203,"&gt;0")&gt;0,"Yes","No"))</f>
        <v/>
      </c>
      <c r="AA49" s="4">
        <f>IF($A49="","No",IF(COUNTIFS('3. Monthly'!$A$4:$A$203,$A49,'3. Monthly'!$C$4:$C$203,$B49,'3. Monthly'!$H$4:$H$203,"&gt;0")&gt;0,"Yes","No"))</f>
        <v/>
      </c>
      <c r="AB49" s="4">
        <f>IF($A49="","No",IF(COUNTIFS('3. Monthly'!$A$4:$A$203,$A49,'3. Monthly'!$C$4:$C$203,$B49,'3. Monthly'!$U$4:$U$203,"&gt;=0",'3. Monthly'!$V$4:$V$203,"&gt;=0",'3. Monthly'!$H$4:$H$203,"&gt;0")&gt;0,"Yes","No"))</f>
        <v/>
      </c>
    </row>
    <row r="50">
      <c r="A50" s="4">
        <f>'4. Quarterly'!A50</f>
        <v/>
      </c>
      <c r="B50" s="4">
        <f>'4. Quarterly'!B50</f>
        <v/>
      </c>
      <c r="C50" s="4">
        <f>IFERROR(VLOOKUP($A50,'2. Projects'!$A$3:$B$20,2,0),"")</f>
        <v/>
      </c>
      <c r="D50" s="21">
        <f>IF($A50="","",IFERROR(AVERAGEIFS('5. Metrics'!$D$4:$D$203,'5. Metrics'!$A$4:$A$203,$A50,'5. Metrics'!$C$4:$C$203,$B50),""))</f>
        <v/>
      </c>
      <c r="E50" s="21">
        <f>IF($A50="","",IFERROR(AVERAGEIFS('5. Metrics'!$E$4:$E$203,'5. Metrics'!$A$4:$A$203,$A50,'5. Metrics'!$C$4:$C$203,$B50),""))</f>
        <v/>
      </c>
      <c r="F50" s="21">
        <f>IF($A50="","",IFERROR(AVERAGEIFS('5. Metrics'!$F$4:$F$203,'5. Metrics'!$A$4:$A$203,$A50,'5. Metrics'!$C$4:$C$203,$B50),""))</f>
        <v/>
      </c>
      <c r="G50" s="21">
        <f>IF($A50="","",IFERROR(AVERAGEIFS('5. Metrics'!$I$4:$I$203,'5. Metrics'!$A$4:$A$203,$A50,'5. Metrics'!$C$4:$C$203,$B50),""))</f>
        <v/>
      </c>
      <c r="H50" s="21">
        <f>IF($A50="","",IFERROR(AVERAGEIFS('5. Metrics'!$L$4:$L$203,'5. Metrics'!$A$4:$A$203,$A50,'5. Metrics'!$C$4:$C$203,$B50),""))</f>
        <v/>
      </c>
      <c r="I50" s="21">
        <f>IF($A50="","",IFERROR(AVERAGEIFS('5. Metrics'!$M$4:$M$203,'5. Metrics'!$A$4:$A$203,$A50,'5. Metrics'!$C$4:$C$203,$B50),""))</f>
        <v/>
      </c>
      <c r="J50" s="21">
        <f>IF($A50="","",IFERROR(AVERAGEIFS('5. Metrics'!$N$4:$N$203,'5. Metrics'!$A$4:$A$203,$A50,'5. Metrics'!$C$4:$C$203,$B50),""))</f>
        <v/>
      </c>
      <c r="K50" s="21">
        <f>IF($A50="","",IFERROR(AVERAGEIFS('5. Metrics'!$P$4:$P$203,'5. Metrics'!$A$4:$A$203,$A50,'5. Metrics'!$C$4:$C$203,$B50),""))</f>
        <v/>
      </c>
      <c r="L50" s="21">
        <f>IF($A50="","",IFERROR(AVERAGEIFS('5. Metrics'!$Q$4:$Q$203,'5. Metrics'!$A$4:$A$203,$A50,'5. Metrics'!$C$4:$C$203,$B50),""))</f>
        <v/>
      </c>
      <c r="M50" s="21">
        <f>IF($A50="","",IFERROR(AVERAGEIFS('5. Metrics'!$R$4:$R$203,'5. Metrics'!$A$4:$A$203,$A50,'5. Metrics'!$C$4:$C$203,$B50),""))</f>
        <v/>
      </c>
      <c r="N50" s="24">
        <f>IF($A50="","",IF('4. Quarterly'!L50="Yes",5,IF(AND(ISNUMBER(E50),E50&gt;'10. Thresholds'!$B$4,V50="Yes"),4,IF(AND('4. Quarterly'!K50="Yes",ISNUMBER(E50),E50&gt;='10. Thresholds'!$B$3),3,IF(AND(U50="Yes",ISNUMBER(D50),D50&gt;='10. Thresholds'!$B$5),2,1)))))</f>
        <v/>
      </c>
      <c r="O50" s="24">
        <f>IF($A50="","",IF(AND('4. Quarterly'!P50="Yes",'4. Quarterly'!Q50="Yes",'4. Quarterly'!M50="Yes",'4. Quarterly'!N50="Yes",'4. Quarterly'!O50="Yes",X50="Yes",Y50="Yes"),5,IF(AND('4. Quarterly'!M50="Yes",'4. Quarterly'!N50="Yes",'4. Quarterly'!O50="Yes",X50="Yes",Y50="Yes"),4,IF(AND(X50="Yes",Y50="Yes"),3,IF(W50="Yes",2,1)))))</f>
        <v/>
      </c>
      <c r="P50" s="24">
        <f>IF($A50="","",IF(AND('4. Quarterly'!V50="Yes",'4. Quarterly'!W50="Yes",'4. Quarterly'!X50="Yes",'4. Quarterly'!S50="Yes",'4. Quarterly'!T50="Yes",'4. Quarterly'!U50="Yes",'4. Quarterly'!E50="Yes",Z50="Yes",'4. Quarterly'!R50="Yes"),5,IF(AND('4. Quarterly'!S50="Yes",'4. Quarterly'!T50="Yes",'4. Quarterly'!U50="Yes",'4. Quarterly'!E50="Yes",Z50="Yes",'4. Quarterly'!R50="Yes"),4,IF(AND('4. Quarterly'!E50="Yes",Z50="Yes",'4. Quarterly'!R50="Yes"),3,IF(OR(Z50="Yes",'4. Quarterly'!R50="Yes",'4. Quarterly'!E50="Yes"),2,1)))))</f>
        <v/>
      </c>
      <c r="Q50" s="24">
        <f>IF($A50="","",IF(AA50&lt;&gt;"Yes",1,IF(AB50&lt;&gt;"Yes",2,IF(AND('4. Quarterly'!AA50="Yes",'4. Quarterly'!Y50="Yes",'4. Quarterly'!Z50="Yes",ISNUMBER(M50),M50&gt;='10. Thresholds'!$B$7,ISNUMBER(L50),L50&lt;='10. Thresholds'!$B$8),5,IF(AND('4. Quarterly'!Y50="Yes",'4. Quarterly'!Z50="Yes",ISNUMBER(M50),M50&gt;='10. Thresholds'!$B$6),4,3)))))</f>
        <v/>
      </c>
      <c r="R50" s="24">
        <f>IF($A50="","",IF(AND('4. Quarterly'!C50="Yes",'4. Quarterly'!D50="Yes",'4. Quarterly'!E50="Yes",'4. Quarterly'!F50="Yes",'4. Quarterly'!G50="Yes",'4. Quarterly'!H50="Yes",'4. Quarterly'!I50="Yes",'4. Quarterly'!J50="Yes"),5,IF(AND('4. Quarterly'!C50="Yes",'4. Quarterly'!D50="Yes",'4. Quarterly'!E50="Yes",'4. Quarterly'!F50="Yes",'4. Quarterly'!G50="Yes"),4,IF(AND('4. Quarterly'!C50="Yes",'4. Quarterly'!D50="Yes",'4. Quarterly'!E50="Yes"),3,IF(COUNTIF('4. Quarterly'!C50:J50,"Yes")&gt;=2,2,1)))))</f>
        <v/>
      </c>
      <c r="S50" s="24">
        <f>IF($A50="","",MIN(R50,P50,ROUND(AVERAGE(N50,O50,P50,Q50,R50),0)))</f>
        <v/>
      </c>
      <c r="T50" s="4">
        <f>IF($A50="","",$A50&amp;"|"&amp;$B50)</f>
        <v/>
      </c>
      <c r="U50" s="4">
        <f>IF($A50="","No",IF(COUNTIFS('3. Monthly'!$A$4:$A$203,$A50,'3. Monthly'!$C$4:$C$203,$B50,'3. Monthly'!$E$4:$E$203,"&gt;0")&gt;0,"Yes","No"))</f>
        <v/>
      </c>
      <c r="V50" s="4">
        <f>IF($A50="","No",IF(COUNTIFS('3. Monthly'!$A$4:$A$203,$A50,'3. Monthly'!$C$4:$C$203,$B50,'3. Monthly'!$I$4:$I$203,"&gt;0")&gt;0,"Yes","No"))</f>
        <v/>
      </c>
      <c r="W50" s="4">
        <f>IF($A50="","No",IF(COUNTIFS('3. Monthly'!$A$4:$A$203,$A50,'3. Monthly'!$C$4:$C$203,$B50,'3. Monthly'!$K$4:$K$203,"&gt;=0",'3. Monthly'!$L$4:$L$203,"&gt;0")&gt;0,"Yes","No"))</f>
        <v/>
      </c>
      <c r="X50" s="4">
        <f>IF($A50="","No",IF(COUNTIFS('3. Monthly'!$A$4:$A$203,$A50,'3. Monthly'!$C$4:$C$203,$B50,'3. Monthly'!$J$4:$J$203,"&gt;=0",'3. Monthly'!$K$4:$K$203,"&gt;=0",'3. Monthly'!$M$4:$M$203,"&gt;=0",'3. Monthly'!$N$4:$N$203,"&gt;=0",'3. Monthly'!$L$4:$L$203,"&gt;0")&gt;0,"Yes","No"))</f>
        <v/>
      </c>
      <c r="Y50" s="4">
        <f>IF($A50="","No",IF(COUNTIFS('3. Monthly'!$A$4:$A$203,$A50,'3. Monthly'!$C$4:$C$203,$B50,'3. Monthly'!$O$4:$O$203,"&gt;0")&gt;0,"Yes","No"))</f>
        <v/>
      </c>
      <c r="Z50" s="4">
        <f>IF($A50="","No",IF(COUNTIFS('3. Monthly'!$A$4:$A$203,$A50,'3. Monthly'!$C$4:$C$203,$B50,'3. Monthly'!$Q$4:$Q$203,"&gt;=0",'3. Monthly'!$G$4:$G$203,"&gt;0")&gt;0,"Yes","No"))</f>
        <v/>
      </c>
      <c r="AA50" s="4">
        <f>IF($A50="","No",IF(COUNTIFS('3. Monthly'!$A$4:$A$203,$A50,'3. Monthly'!$C$4:$C$203,$B50,'3. Monthly'!$H$4:$H$203,"&gt;0")&gt;0,"Yes","No"))</f>
        <v/>
      </c>
      <c r="AB50" s="4">
        <f>IF($A50="","No",IF(COUNTIFS('3. Monthly'!$A$4:$A$203,$A50,'3. Monthly'!$C$4:$C$203,$B50,'3. Monthly'!$U$4:$U$203,"&gt;=0",'3. Monthly'!$V$4:$V$203,"&gt;=0",'3. Monthly'!$H$4:$H$203,"&gt;0")&gt;0,"Yes","No"))</f>
        <v/>
      </c>
    </row>
    <row r="51">
      <c r="A51" s="4">
        <f>'4. Quarterly'!A51</f>
        <v/>
      </c>
      <c r="B51" s="4">
        <f>'4. Quarterly'!B51</f>
        <v/>
      </c>
      <c r="C51" s="4">
        <f>IFERROR(VLOOKUP($A51,'2. Projects'!$A$3:$B$20,2,0),"")</f>
        <v/>
      </c>
      <c r="D51" s="21">
        <f>IF($A51="","",IFERROR(AVERAGEIFS('5. Metrics'!$D$4:$D$203,'5. Metrics'!$A$4:$A$203,$A51,'5. Metrics'!$C$4:$C$203,$B51),""))</f>
        <v/>
      </c>
      <c r="E51" s="21">
        <f>IF($A51="","",IFERROR(AVERAGEIFS('5. Metrics'!$E$4:$E$203,'5. Metrics'!$A$4:$A$203,$A51,'5. Metrics'!$C$4:$C$203,$B51),""))</f>
        <v/>
      </c>
      <c r="F51" s="21">
        <f>IF($A51="","",IFERROR(AVERAGEIFS('5. Metrics'!$F$4:$F$203,'5. Metrics'!$A$4:$A$203,$A51,'5. Metrics'!$C$4:$C$203,$B51),""))</f>
        <v/>
      </c>
      <c r="G51" s="21">
        <f>IF($A51="","",IFERROR(AVERAGEIFS('5. Metrics'!$I$4:$I$203,'5. Metrics'!$A$4:$A$203,$A51,'5. Metrics'!$C$4:$C$203,$B51),""))</f>
        <v/>
      </c>
      <c r="H51" s="21">
        <f>IF($A51="","",IFERROR(AVERAGEIFS('5. Metrics'!$L$4:$L$203,'5. Metrics'!$A$4:$A$203,$A51,'5. Metrics'!$C$4:$C$203,$B51),""))</f>
        <v/>
      </c>
      <c r="I51" s="21">
        <f>IF($A51="","",IFERROR(AVERAGEIFS('5. Metrics'!$M$4:$M$203,'5. Metrics'!$A$4:$A$203,$A51,'5. Metrics'!$C$4:$C$203,$B51),""))</f>
        <v/>
      </c>
      <c r="J51" s="21">
        <f>IF($A51="","",IFERROR(AVERAGEIFS('5. Metrics'!$N$4:$N$203,'5. Metrics'!$A$4:$A$203,$A51,'5. Metrics'!$C$4:$C$203,$B51),""))</f>
        <v/>
      </c>
      <c r="K51" s="21">
        <f>IF($A51="","",IFERROR(AVERAGEIFS('5. Metrics'!$P$4:$P$203,'5. Metrics'!$A$4:$A$203,$A51,'5. Metrics'!$C$4:$C$203,$B51),""))</f>
        <v/>
      </c>
      <c r="L51" s="21">
        <f>IF($A51="","",IFERROR(AVERAGEIFS('5. Metrics'!$Q$4:$Q$203,'5. Metrics'!$A$4:$A$203,$A51,'5. Metrics'!$C$4:$C$203,$B51),""))</f>
        <v/>
      </c>
      <c r="M51" s="21">
        <f>IF($A51="","",IFERROR(AVERAGEIFS('5. Metrics'!$R$4:$R$203,'5. Metrics'!$A$4:$A$203,$A51,'5. Metrics'!$C$4:$C$203,$B51),""))</f>
        <v/>
      </c>
      <c r="N51" s="24">
        <f>IF($A51="","",IF('4. Quarterly'!L51="Yes",5,IF(AND(ISNUMBER(E51),E51&gt;'10. Thresholds'!$B$4,V51="Yes"),4,IF(AND('4. Quarterly'!K51="Yes",ISNUMBER(E51),E51&gt;='10. Thresholds'!$B$3),3,IF(AND(U51="Yes",ISNUMBER(D51),D51&gt;='10. Thresholds'!$B$5),2,1)))))</f>
        <v/>
      </c>
      <c r="O51" s="24">
        <f>IF($A51="","",IF(AND('4. Quarterly'!P51="Yes",'4. Quarterly'!Q51="Yes",'4. Quarterly'!M51="Yes",'4. Quarterly'!N51="Yes",'4. Quarterly'!O51="Yes",X51="Yes",Y51="Yes"),5,IF(AND('4. Quarterly'!M51="Yes",'4. Quarterly'!N51="Yes",'4. Quarterly'!O51="Yes",X51="Yes",Y51="Yes"),4,IF(AND(X51="Yes",Y51="Yes"),3,IF(W51="Yes",2,1)))))</f>
        <v/>
      </c>
      <c r="P51" s="24">
        <f>IF($A51="","",IF(AND('4. Quarterly'!V51="Yes",'4. Quarterly'!W51="Yes",'4. Quarterly'!X51="Yes",'4. Quarterly'!S51="Yes",'4. Quarterly'!T51="Yes",'4. Quarterly'!U51="Yes",'4. Quarterly'!E51="Yes",Z51="Yes",'4. Quarterly'!R51="Yes"),5,IF(AND('4. Quarterly'!S51="Yes",'4. Quarterly'!T51="Yes",'4. Quarterly'!U51="Yes",'4. Quarterly'!E51="Yes",Z51="Yes",'4. Quarterly'!R51="Yes"),4,IF(AND('4. Quarterly'!E51="Yes",Z51="Yes",'4. Quarterly'!R51="Yes"),3,IF(OR(Z51="Yes",'4. Quarterly'!R51="Yes",'4. Quarterly'!E51="Yes"),2,1)))))</f>
        <v/>
      </c>
      <c r="Q51" s="24">
        <f>IF($A51="","",IF(AA51&lt;&gt;"Yes",1,IF(AB51&lt;&gt;"Yes",2,IF(AND('4. Quarterly'!AA51="Yes",'4. Quarterly'!Y51="Yes",'4. Quarterly'!Z51="Yes",ISNUMBER(M51),M51&gt;='10. Thresholds'!$B$7,ISNUMBER(L51),L51&lt;='10. Thresholds'!$B$8),5,IF(AND('4. Quarterly'!Y51="Yes",'4. Quarterly'!Z51="Yes",ISNUMBER(M51),M51&gt;='10. Thresholds'!$B$6),4,3)))))</f>
        <v/>
      </c>
      <c r="R51" s="24">
        <f>IF($A51="","",IF(AND('4. Quarterly'!C51="Yes",'4. Quarterly'!D51="Yes",'4. Quarterly'!E51="Yes",'4. Quarterly'!F51="Yes",'4. Quarterly'!G51="Yes",'4. Quarterly'!H51="Yes",'4. Quarterly'!I51="Yes",'4. Quarterly'!J51="Yes"),5,IF(AND('4. Quarterly'!C51="Yes",'4. Quarterly'!D51="Yes",'4. Quarterly'!E51="Yes",'4. Quarterly'!F51="Yes",'4. Quarterly'!G51="Yes"),4,IF(AND('4. Quarterly'!C51="Yes",'4. Quarterly'!D51="Yes",'4. Quarterly'!E51="Yes"),3,IF(COUNTIF('4. Quarterly'!C51:J51,"Yes")&gt;=2,2,1)))))</f>
        <v/>
      </c>
      <c r="S51" s="24">
        <f>IF($A51="","",MIN(R51,P51,ROUND(AVERAGE(N51,O51,P51,Q51,R51),0)))</f>
        <v/>
      </c>
      <c r="T51" s="4">
        <f>IF($A51="","",$A51&amp;"|"&amp;$B51)</f>
        <v/>
      </c>
      <c r="U51" s="4">
        <f>IF($A51="","No",IF(COUNTIFS('3. Monthly'!$A$4:$A$203,$A51,'3. Monthly'!$C$4:$C$203,$B51,'3. Monthly'!$E$4:$E$203,"&gt;0")&gt;0,"Yes","No"))</f>
        <v/>
      </c>
      <c r="V51" s="4">
        <f>IF($A51="","No",IF(COUNTIFS('3. Monthly'!$A$4:$A$203,$A51,'3. Monthly'!$C$4:$C$203,$B51,'3. Monthly'!$I$4:$I$203,"&gt;0")&gt;0,"Yes","No"))</f>
        <v/>
      </c>
      <c r="W51" s="4">
        <f>IF($A51="","No",IF(COUNTIFS('3. Monthly'!$A$4:$A$203,$A51,'3. Monthly'!$C$4:$C$203,$B51,'3. Monthly'!$K$4:$K$203,"&gt;=0",'3. Monthly'!$L$4:$L$203,"&gt;0")&gt;0,"Yes","No"))</f>
        <v/>
      </c>
      <c r="X51" s="4">
        <f>IF($A51="","No",IF(COUNTIFS('3. Monthly'!$A$4:$A$203,$A51,'3. Monthly'!$C$4:$C$203,$B51,'3. Monthly'!$J$4:$J$203,"&gt;=0",'3. Monthly'!$K$4:$K$203,"&gt;=0",'3. Monthly'!$M$4:$M$203,"&gt;=0",'3. Monthly'!$N$4:$N$203,"&gt;=0",'3. Monthly'!$L$4:$L$203,"&gt;0")&gt;0,"Yes","No"))</f>
        <v/>
      </c>
      <c r="Y51" s="4">
        <f>IF($A51="","No",IF(COUNTIFS('3. Monthly'!$A$4:$A$203,$A51,'3. Monthly'!$C$4:$C$203,$B51,'3. Monthly'!$O$4:$O$203,"&gt;0")&gt;0,"Yes","No"))</f>
        <v/>
      </c>
      <c r="Z51" s="4">
        <f>IF($A51="","No",IF(COUNTIFS('3. Monthly'!$A$4:$A$203,$A51,'3. Monthly'!$C$4:$C$203,$B51,'3. Monthly'!$Q$4:$Q$203,"&gt;=0",'3. Monthly'!$G$4:$G$203,"&gt;0")&gt;0,"Yes","No"))</f>
        <v/>
      </c>
      <c r="AA51" s="4">
        <f>IF($A51="","No",IF(COUNTIFS('3. Monthly'!$A$4:$A$203,$A51,'3. Monthly'!$C$4:$C$203,$B51,'3. Monthly'!$H$4:$H$203,"&gt;0")&gt;0,"Yes","No"))</f>
        <v/>
      </c>
      <c r="AB51" s="4">
        <f>IF($A51="","No",IF(COUNTIFS('3. Monthly'!$A$4:$A$203,$A51,'3. Monthly'!$C$4:$C$203,$B51,'3. Monthly'!$U$4:$U$203,"&gt;=0",'3. Monthly'!$V$4:$V$203,"&gt;=0",'3. Monthly'!$H$4:$H$203,"&gt;0")&gt;0,"Yes","No"))</f>
        <v/>
      </c>
    </row>
    <row r="52">
      <c r="A52" s="4">
        <f>'4. Quarterly'!A52</f>
        <v/>
      </c>
      <c r="B52" s="4">
        <f>'4. Quarterly'!B52</f>
        <v/>
      </c>
      <c r="C52" s="4">
        <f>IFERROR(VLOOKUP($A52,'2. Projects'!$A$3:$B$20,2,0),"")</f>
        <v/>
      </c>
      <c r="D52" s="21">
        <f>IF($A52="","",IFERROR(AVERAGEIFS('5. Metrics'!$D$4:$D$203,'5. Metrics'!$A$4:$A$203,$A52,'5. Metrics'!$C$4:$C$203,$B52),""))</f>
        <v/>
      </c>
      <c r="E52" s="21">
        <f>IF($A52="","",IFERROR(AVERAGEIFS('5. Metrics'!$E$4:$E$203,'5. Metrics'!$A$4:$A$203,$A52,'5. Metrics'!$C$4:$C$203,$B52),""))</f>
        <v/>
      </c>
      <c r="F52" s="21">
        <f>IF($A52="","",IFERROR(AVERAGEIFS('5. Metrics'!$F$4:$F$203,'5. Metrics'!$A$4:$A$203,$A52,'5. Metrics'!$C$4:$C$203,$B52),""))</f>
        <v/>
      </c>
      <c r="G52" s="21">
        <f>IF($A52="","",IFERROR(AVERAGEIFS('5. Metrics'!$I$4:$I$203,'5. Metrics'!$A$4:$A$203,$A52,'5. Metrics'!$C$4:$C$203,$B52),""))</f>
        <v/>
      </c>
      <c r="H52" s="21">
        <f>IF($A52="","",IFERROR(AVERAGEIFS('5. Metrics'!$L$4:$L$203,'5. Metrics'!$A$4:$A$203,$A52,'5. Metrics'!$C$4:$C$203,$B52),""))</f>
        <v/>
      </c>
      <c r="I52" s="21">
        <f>IF($A52="","",IFERROR(AVERAGEIFS('5. Metrics'!$M$4:$M$203,'5. Metrics'!$A$4:$A$203,$A52,'5. Metrics'!$C$4:$C$203,$B52),""))</f>
        <v/>
      </c>
      <c r="J52" s="21">
        <f>IF($A52="","",IFERROR(AVERAGEIFS('5. Metrics'!$N$4:$N$203,'5. Metrics'!$A$4:$A$203,$A52,'5. Metrics'!$C$4:$C$203,$B52),""))</f>
        <v/>
      </c>
      <c r="K52" s="21">
        <f>IF($A52="","",IFERROR(AVERAGEIFS('5. Metrics'!$P$4:$P$203,'5. Metrics'!$A$4:$A$203,$A52,'5. Metrics'!$C$4:$C$203,$B52),""))</f>
        <v/>
      </c>
      <c r="L52" s="21">
        <f>IF($A52="","",IFERROR(AVERAGEIFS('5. Metrics'!$Q$4:$Q$203,'5. Metrics'!$A$4:$A$203,$A52,'5. Metrics'!$C$4:$C$203,$B52),""))</f>
        <v/>
      </c>
      <c r="M52" s="21">
        <f>IF($A52="","",IFERROR(AVERAGEIFS('5. Metrics'!$R$4:$R$203,'5. Metrics'!$A$4:$A$203,$A52,'5. Metrics'!$C$4:$C$203,$B52),""))</f>
        <v/>
      </c>
      <c r="N52" s="24">
        <f>IF($A52="","",IF('4. Quarterly'!L52="Yes",5,IF(AND(ISNUMBER(E52),E52&gt;'10. Thresholds'!$B$4,V52="Yes"),4,IF(AND('4. Quarterly'!K52="Yes",ISNUMBER(E52),E52&gt;='10. Thresholds'!$B$3),3,IF(AND(U52="Yes",ISNUMBER(D52),D52&gt;='10. Thresholds'!$B$5),2,1)))))</f>
        <v/>
      </c>
      <c r="O52" s="24">
        <f>IF($A52="","",IF(AND('4. Quarterly'!P52="Yes",'4. Quarterly'!Q52="Yes",'4. Quarterly'!M52="Yes",'4. Quarterly'!N52="Yes",'4. Quarterly'!O52="Yes",X52="Yes",Y52="Yes"),5,IF(AND('4. Quarterly'!M52="Yes",'4. Quarterly'!N52="Yes",'4. Quarterly'!O52="Yes",X52="Yes",Y52="Yes"),4,IF(AND(X52="Yes",Y52="Yes"),3,IF(W52="Yes",2,1)))))</f>
        <v/>
      </c>
      <c r="P52" s="24">
        <f>IF($A52="","",IF(AND('4. Quarterly'!V52="Yes",'4. Quarterly'!W52="Yes",'4. Quarterly'!X52="Yes",'4. Quarterly'!S52="Yes",'4. Quarterly'!T52="Yes",'4. Quarterly'!U52="Yes",'4. Quarterly'!E52="Yes",Z52="Yes",'4. Quarterly'!R52="Yes"),5,IF(AND('4. Quarterly'!S52="Yes",'4. Quarterly'!T52="Yes",'4. Quarterly'!U52="Yes",'4. Quarterly'!E52="Yes",Z52="Yes",'4. Quarterly'!R52="Yes"),4,IF(AND('4. Quarterly'!E52="Yes",Z52="Yes",'4. Quarterly'!R52="Yes"),3,IF(OR(Z52="Yes",'4. Quarterly'!R52="Yes",'4. Quarterly'!E52="Yes"),2,1)))))</f>
        <v/>
      </c>
      <c r="Q52" s="24">
        <f>IF($A52="","",IF(AA52&lt;&gt;"Yes",1,IF(AB52&lt;&gt;"Yes",2,IF(AND('4. Quarterly'!AA52="Yes",'4. Quarterly'!Y52="Yes",'4. Quarterly'!Z52="Yes",ISNUMBER(M52),M52&gt;='10. Thresholds'!$B$7,ISNUMBER(L52),L52&lt;='10. Thresholds'!$B$8),5,IF(AND('4. Quarterly'!Y52="Yes",'4. Quarterly'!Z52="Yes",ISNUMBER(M52),M52&gt;='10. Thresholds'!$B$6),4,3)))))</f>
        <v/>
      </c>
      <c r="R52" s="24">
        <f>IF($A52="","",IF(AND('4. Quarterly'!C52="Yes",'4. Quarterly'!D52="Yes",'4. Quarterly'!E52="Yes",'4. Quarterly'!F52="Yes",'4. Quarterly'!G52="Yes",'4. Quarterly'!H52="Yes",'4. Quarterly'!I52="Yes",'4. Quarterly'!J52="Yes"),5,IF(AND('4. Quarterly'!C52="Yes",'4. Quarterly'!D52="Yes",'4. Quarterly'!E52="Yes",'4. Quarterly'!F52="Yes",'4. Quarterly'!G52="Yes"),4,IF(AND('4. Quarterly'!C52="Yes",'4. Quarterly'!D52="Yes",'4. Quarterly'!E52="Yes"),3,IF(COUNTIF('4. Quarterly'!C52:J52,"Yes")&gt;=2,2,1)))))</f>
        <v/>
      </c>
      <c r="S52" s="24">
        <f>IF($A52="","",MIN(R52,P52,ROUND(AVERAGE(N52,O52,P52,Q52,R52),0)))</f>
        <v/>
      </c>
      <c r="T52" s="4">
        <f>IF($A52="","",$A52&amp;"|"&amp;$B52)</f>
        <v/>
      </c>
      <c r="U52" s="4">
        <f>IF($A52="","No",IF(COUNTIFS('3. Monthly'!$A$4:$A$203,$A52,'3. Monthly'!$C$4:$C$203,$B52,'3. Monthly'!$E$4:$E$203,"&gt;0")&gt;0,"Yes","No"))</f>
        <v/>
      </c>
      <c r="V52" s="4">
        <f>IF($A52="","No",IF(COUNTIFS('3. Monthly'!$A$4:$A$203,$A52,'3. Monthly'!$C$4:$C$203,$B52,'3. Monthly'!$I$4:$I$203,"&gt;0")&gt;0,"Yes","No"))</f>
        <v/>
      </c>
      <c r="W52" s="4">
        <f>IF($A52="","No",IF(COUNTIFS('3. Monthly'!$A$4:$A$203,$A52,'3. Monthly'!$C$4:$C$203,$B52,'3. Monthly'!$K$4:$K$203,"&gt;=0",'3. Monthly'!$L$4:$L$203,"&gt;0")&gt;0,"Yes","No"))</f>
        <v/>
      </c>
      <c r="X52" s="4">
        <f>IF($A52="","No",IF(COUNTIFS('3. Monthly'!$A$4:$A$203,$A52,'3. Monthly'!$C$4:$C$203,$B52,'3. Monthly'!$J$4:$J$203,"&gt;=0",'3. Monthly'!$K$4:$K$203,"&gt;=0",'3. Monthly'!$M$4:$M$203,"&gt;=0",'3. Monthly'!$N$4:$N$203,"&gt;=0",'3. Monthly'!$L$4:$L$203,"&gt;0")&gt;0,"Yes","No"))</f>
        <v/>
      </c>
      <c r="Y52" s="4">
        <f>IF($A52="","No",IF(COUNTIFS('3. Monthly'!$A$4:$A$203,$A52,'3. Monthly'!$C$4:$C$203,$B52,'3. Monthly'!$O$4:$O$203,"&gt;0")&gt;0,"Yes","No"))</f>
        <v/>
      </c>
      <c r="Z52" s="4">
        <f>IF($A52="","No",IF(COUNTIFS('3. Monthly'!$A$4:$A$203,$A52,'3. Monthly'!$C$4:$C$203,$B52,'3. Monthly'!$Q$4:$Q$203,"&gt;=0",'3. Monthly'!$G$4:$G$203,"&gt;0")&gt;0,"Yes","No"))</f>
        <v/>
      </c>
      <c r="AA52" s="4">
        <f>IF($A52="","No",IF(COUNTIFS('3. Monthly'!$A$4:$A$203,$A52,'3. Monthly'!$C$4:$C$203,$B52,'3. Monthly'!$H$4:$H$203,"&gt;0")&gt;0,"Yes","No"))</f>
        <v/>
      </c>
      <c r="AB52" s="4">
        <f>IF($A52="","No",IF(COUNTIFS('3. Monthly'!$A$4:$A$203,$A52,'3. Monthly'!$C$4:$C$203,$B52,'3. Monthly'!$U$4:$U$203,"&gt;=0",'3. Monthly'!$V$4:$V$203,"&gt;=0",'3. Monthly'!$H$4:$H$203,"&gt;0")&gt;0,"Yes","No"))</f>
        <v/>
      </c>
    </row>
    <row r="53">
      <c r="A53" s="4">
        <f>'4. Quarterly'!A53</f>
        <v/>
      </c>
      <c r="B53" s="4">
        <f>'4. Quarterly'!B53</f>
        <v/>
      </c>
      <c r="C53" s="4">
        <f>IFERROR(VLOOKUP($A53,'2. Projects'!$A$3:$B$20,2,0),"")</f>
        <v/>
      </c>
      <c r="D53" s="21">
        <f>IF($A53="","",IFERROR(AVERAGEIFS('5. Metrics'!$D$4:$D$203,'5. Metrics'!$A$4:$A$203,$A53,'5. Metrics'!$C$4:$C$203,$B53),""))</f>
        <v/>
      </c>
      <c r="E53" s="21">
        <f>IF($A53="","",IFERROR(AVERAGEIFS('5. Metrics'!$E$4:$E$203,'5. Metrics'!$A$4:$A$203,$A53,'5. Metrics'!$C$4:$C$203,$B53),""))</f>
        <v/>
      </c>
      <c r="F53" s="21">
        <f>IF($A53="","",IFERROR(AVERAGEIFS('5. Metrics'!$F$4:$F$203,'5. Metrics'!$A$4:$A$203,$A53,'5. Metrics'!$C$4:$C$203,$B53),""))</f>
        <v/>
      </c>
      <c r="G53" s="21">
        <f>IF($A53="","",IFERROR(AVERAGEIFS('5. Metrics'!$I$4:$I$203,'5. Metrics'!$A$4:$A$203,$A53,'5. Metrics'!$C$4:$C$203,$B53),""))</f>
        <v/>
      </c>
      <c r="H53" s="21">
        <f>IF($A53="","",IFERROR(AVERAGEIFS('5. Metrics'!$L$4:$L$203,'5. Metrics'!$A$4:$A$203,$A53,'5. Metrics'!$C$4:$C$203,$B53),""))</f>
        <v/>
      </c>
      <c r="I53" s="21">
        <f>IF($A53="","",IFERROR(AVERAGEIFS('5. Metrics'!$M$4:$M$203,'5. Metrics'!$A$4:$A$203,$A53,'5. Metrics'!$C$4:$C$203,$B53),""))</f>
        <v/>
      </c>
      <c r="J53" s="21">
        <f>IF($A53="","",IFERROR(AVERAGEIFS('5. Metrics'!$N$4:$N$203,'5. Metrics'!$A$4:$A$203,$A53,'5. Metrics'!$C$4:$C$203,$B53),""))</f>
        <v/>
      </c>
      <c r="K53" s="21">
        <f>IF($A53="","",IFERROR(AVERAGEIFS('5. Metrics'!$P$4:$P$203,'5. Metrics'!$A$4:$A$203,$A53,'5. Metrics'!$C$4:$C$203,$B53),""))</f>
        <v/>
      </c>
      <c r="L53" s="21">
        <f>IF($A53="","",IFERROR(AVERAGEIFS('5. Metrics'!$Q$4:$Q$203,'5. Metrics'!$A$4:$A$203,$A53,'5. Metrics'!$C$4:$C$203,$B53),""))</f>
        <v/>
      </c>
      <c r="M53" s="21">
        <f>IF($A53="","",IFERROR(AVERAGEIFS('5. Metrics'!$R$4:$R$203,'5. Metrics'!$A$4:$A$203,$A53,'5. Metrics'!$C$4:$C$203,$B53),""))</f>
        <v/>
      </c>
      <c r="N53" s="24">
        <f>IF($A53="","",IF('4. Quarterly'!L53="Yes",5,IF(AND(ISNUMBER(E53),E53&gt;'10. Thresholds'!$B$4,V53="Yes"),4,IF(AND('4. Quarterly'!K53="Yes",ISNUMBER(E53),E53&gt;='10. Thresholds'!$B$3),3,IF(AND(U53="Yes",ISNUMBER(D53),D53&gt;='10. Thresholds'!$B$5),2,1)))))</f>
        <v/>
      </c>
      <c r="O53" s="24">
        <f>IF($A53="","",IF(AND('4. Quarterly'!P53="Yes",'4. Quarterly'!Q53="Yes",'4. Quarterly'!M53="Yes",'4. Quarterly'!N53="Yes",'4. Quarterly'!O53="Yes",X53="Yes",Y53="Yes"),5,IF(AND('4. Quarterly'!M53="Yes",'4. Quarterly'!N53="Yes",'4. Quarterly'!O53="Yes",X53="Yes",Y53="Yes"),4,IF(AND(X53="Yes",Y53="Yes"),3,IF(W53="Yes",2,1)))))</f>
        <v/>
      </c>
      <c r="P53" s="24">
        <f>IF($A53="","",IF(AND('4. Quarterly'!V53="Yes",'4. Quarterly'!W53="Yes",'4. Quarterly'!X53="Yes",'4. Quarterly'!S53="Yes",'4. Quarterly'!T53="Yes",'4. Quarterly'!U53="Yes",'4. Quarterly'!E53="Yes",Z53="Yes",'4. Quarterly'!R53="Yes"),5,IF(AND('4. Quarterly'!S53="Yes",'4. Quarterly'!T53="Yes",'4. Quarterly'!U53="Yes",'4. Quarterly'!E53="Yes",Z53="Yes",'4. Quarterly'!R53="Yes"),4,IF(AND('4. Quarterly'!E53="Yes",Z53="Yes",'4. Quarterly'!R53="Yes"),3,IF(OR(Z53="Yes",'4. Quarterly'!R53="Yes",'4. Quarterly'!E53="Yes"),2,1)))))</f>
        <v/>
      </c>
      <c r="Q53" s="24">
        <f>IF($A53="","",IF(AA53&lt;&gt;"Yes",1,IF(AB53&lt;&gt;"Yes",2,IF(AND('4. Quarterly'!AA53="Yes",'4. Quarterly'!Y53="Yes",'4. Quarterly'!Z53="Yes",ISNUMBER(M53),M53&gt;='10. Thresholds'!$B$7,ISNUMBER(L53),L53&lt;='10. Thresholds'!$B$8),5,IF(AND('4. Quarterly'!Y53="Yes",'4. Quarterly'!Z53="Yes",ISNUMBER(M53),M53&gt;='10. Thresholds'!$B$6),4,3)))))</f>
        <v/>
      </c>
      <c r="R53" s="24">
        <f>IF($A53="","",IF(AND('4. Quarterly'!C53="Yes",'4. Quarterly'!D53="Yes",'4. Quarterly'!E53="Yes",'4. Quarterly'!F53="Yes",'4. Quarterly'!G53="Yes",'4. Quarterly'!H53="Yes",'4. Quarterly'!I53="Yes",'4. Quarterly'!J53="Yes"),5,IF(AND('4. Quarterly'!C53="Yes",'4. Quarterly'!D53="Yes",'4. Quarterly'!E53="Yes",'4. Quarterly'!F53="Yes",'4. Quarterly'!G53="Yes"),4,IF(AND('4. Quarterly'!C53="Yes",'4. Quarterly'!D53="Yes",'4. Quarterly'!E53="Yes"),3,IF(COUNTIF('4. Quarterly'!C53:J53,"Yes")&gt;=2,2,1)))))</f>
        <v/>
      </c>
      <c r="S53" s="24">
        <f>IF($A53="","",MIN(R53,P53,ROUND(AVERAGE(N53,O53,P53,Q53,R53),0)))</f>
        <v/>
      </c>
      <c r="T53" s="4">
        <f>IF($A53="","",$A53&amp;"|"&amp;$B53)</f>
        <v/>
      </c>
      <c r="U53" s="4">
        <f>IF($A53="","No",IF(COUNTIFS('3. Monthly'!$A$4:$A$203,$A53,'3. Monthly'!$C$4:$C$203,$B53,'3. Monthly'!$E$4:$E$203,"&gt;0")&gt;0,"Yes","No"))</f>
        <v/>
      </c>
      <c r="V53" s="4">
        <f>IF($A53="","No",IF(COUNTIFS('3. Monthly'!$A$4:$A$203,$A53,'3. Monthly'!$C$4:$C$203,$B53,'3. Monthly'!$I$4:$I$203,"&gt;0")&gt;0,"Yes","No"))</f>
        <v/>
      </c>
      <c r="W53" s="4">
        <f>IF($A53="","No",IF(COUNTIFS('3. Monthly'!$A$4:$A$203,$A53,'3. Monthly'!$C$4:$C$203,$B53,'3. Monthly'!$K$4:$K$203,"&gt;=0",'3. Monthly'!$L$4:$L$203,"&gt;0")&gt;0,"Yes","No"))</f>
        <v/>
      </c>
      <c r="X53" s="4">
        <f>IF($A53="","No",IF(COUNTIFS('3. Monthly'!$A$4:$A$203,$A53,'3. Monthly'!$C$4:$C$203,$B53,'3. Monthly'!$J$4:$J$203,"&gt;=0",'3. Monthly'!$K$4:$K$203,"&gt;=0",'3. Monthly'!$M$4:$M$203,"&gt;=0",'3. Monthly'!$N$4:$N$203,"&gt;=0",'3. Monthly'!$L$4:$L$203,"&gt;0")&gt;0,"Yes","No"))</f>
        <v/>
      </c>
      <c r="Y53" s="4">
        <f>IF($A53="","No",IF(COUNTIFS('3. Monthly'!$A$4:$A$203,$A53,'3. Monthly'!$C$4:$C$203,$B53,'3. Monthly'!$O$4:$O$203,"&gt;0")&gt;0,"Yes","No"))</f>
        <v/>
      </c>
      <c r="Z53" s="4">
        <f>IF($A53="","No",IF(COUNTIFS('3. Monthly'!$A$4:$A$203,$A53,'3. Monthly'!$C$4:$C$203,$B53,'3. Monthly'!$Q$4:$Q$203,"&gt;=0",'3. Monthly'!$G$4:$G$203,"&gt;0")&gt;0,"Yes","No"))</f>
        <v/>
      </c>
      <c r="AA53" s="4">
        <f>IF($A53="","No",IF(COUNTIFS('3. Monthly'!$A$4:$A$203,$A53,'3. Monthly'!$C$4:$C$203,$B53,'3. Monthly'!$H$4:$H$203,"&gt;0")&gt;0,"Yes","No"))</f>
        <v/>
      </c>
      <c r="AB53" s="4">
        <f>IF($A53="","No",IF(COUNTIFS('3. Monthly'!$A$4:$A$203,$A53,'3. Monthly'!$C$4:$C$203,$B53,'3. Monthly'!$U$4:$U$203,"&gt;=0",'3. Monthly'!$V$4:$V$203,"&gt;=0",'3. Monthly'!$H$4:$H$203,"&gt;0")&gt;0,"Yes","No"))</f>
        <v/>
      </c>
    </row>
  </sheetData>
  <conditionalFormatting sqref="N4:S53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Normal="100" workbookViewId="0">
      <selection activeCell="C14" sqref="C14"/>
    </sheetView>
  </sheetViews>
  <sheetFormatPr baseColWidth="8" defaultColWidth="8.7109375" defaultRowHeight="15"/>
  <cols>
    <col width="24" customWidth="1" min="1" max="1"/>
    <col width="70" customWidth="1" min="2" max="2"/>
    <col width="16" customWidth="1" min="3" max="3"/>
    <col width="40" customWidth="1" min="4" max="4"/>
  </cols>
  <sheetData>
    <row r="1">
      <c r="A1" s="15" t="inlineStr">
        <is>
          <t>BASELINE SELF-ASSESSMENT — kickoff + reviewed each quarter</t>
        </is>
      </c>
    </row>
    <row r="2">
      <c r="A2" s="25" t="inlineStr">
        <is>
          <t>Each 'No' is an action to establish a baseline before measuring.</t>
        </is>
      </c>
    </row>
    <row r="3"/>
    <row r="4">
      <c r="A4" s="26" t="inlineStr">
        <is>
          <t>Topic</t>
        </is>
      </c>
      <c r="B4" s="26" t="inlineStr">
        <is>
          <t>Self-assessment question</t>
        </is>
      </c>
      <c r="C4" s="26" t="inlineStr">
        <is>
          <t>Yes/Partial/No</t>
        </is>
      </c>
      <c r="D4" s="26" t="inlineStr">
        <is>
          <t>Notes</t>
        </is>
      </c>
    </row>
    <row r="5" ht="23.85" customHeight="1">
      <c r="A5" s="27" t="inlineStr">
        <is>
          <t>1. Policy &amp; Governance</t>
        </is>
      </c>
      <c r="B5" s="28" t="inlineStr">
        <is>
          <t>Written AI policy (allowed/forbidden tools, data, models)? Everyone complies? Prototype separated from production?</t>
        </is>
      </c>
      <c r="C5" s="29" t="n"/>
      <c r="D5" s="28" t="n"/>
    </row>
    <row r="6" ht="23.85" customHeight="1">
      <c r="A6" s="27" t="inlineStr">
        <is>
          <t>2. Context cho AI</t>
        </is>
      </c>
      <c r="B6" s="28" t="inlineStr">
        <is>
          <t>AGENTS.md (stack, conventions, hard rules) versioned &amp; updated when AI errs? AI connected to internal docs/codebase?</t>
        </is>
      </c>
      <c r="C6" s="29" t="n"/>
      <c r="D6" s="28" t="n"/>
    </row>
    <row r="7" ht="23.85" customHeight="1">
      <c r="A7" s="27" t="inlineStr">
        <is>
          <t>3. Testing &amp; Eval</t>
        </is>
      </c>
      <c r="B7" s="28" t="inlineStr">
        <is>
          <t>Write tests/evals BEFORE generating code for important tasks? Pass/fail eval suite for agents? Tests run automatically in CI?</t>
        </is>
      </c>
      <c r="C7" s="29" t="n"/>
      <c r="D7" s="28" t="n"/>
    </row>
    <row r="8" ht="23.85" customHeight="1">
      <c r="A8" s="27" t="inlineStr">
        <is>
          <t>4. Review &amp; Humans</t>
        </is>
      </c>
      <c r="B8" s="28" t="inlineStr">
        <is>
          <t>Every line of AI code human-reviewed before ship? Reviewers know AI-specific failures? Mandatory approval gate?</t>
        </is>
      </c>
      <c r="C8" s="29" t="n"/>
      <c r="D8" s="28" t="n"/>
    </row>
    <row r="9" ht="23.85" customHeight="1">
      <c r="A9" s="27" t="inlineStr">
        <is>
          <t>5. Security &amp; Audit</t>
        </is>
      </c>
      <c r="B9" s="28" t="inlineStr">
        <is>
          <t>Scanning for secrets/PII &amp; prompt-leak protection? AI-generated artifacts traceable + every agent run logged?</t>
        </is>
      </c>
      <c r="C9" s="29" t="n"/>
      <c r="D9" s="28" t="n"/>
    </row>
    <row r="10" ht="23.85" customHeight="1">
      <c r="A10" s="27" t="inlineStr">
        <is>
          <t>6. Measurement &amp; Outcomes</t>
        </is>
      </c>
      <c r="B10" s="28" t="inlineStr">
        <is>
          <t>Baseline (DORA, time, cost) recorded before AI? Quality tracked alongside productivity? Tied to business outcomes?</t>
        </is>
      </c>
      <c r="C10" s="29" t="n"/>
      <c r="D10" s="28" t="n"/>
    </row>
    <row r="11">
      <c r="A11" s="28" t="n"/>
      <c r="B11" s="28" t="n"/>
      <c r="C11" s="28" t="n"/>
    </row>
    <row r="12" ht="22.35" customHeight="1">
      <c r="A12" s="26" t="inlineStr">
        <is>
          <t>Phase SDLC</t>
        </is>
      </c>
      <c r="B12" s="26" t="inlineStr">
        <is>
          <t>Question</t>
        </is>
      </c>
      <c r="C12" s="26" t="inlineStr">
        <is>
          <t>What 'good' looks like</t>
        </is>
      </c>
    </row>
    <row r="13" ht="35.1" customHeight="1">
      <c r="A13" s="27" t="inlineStr">
        <is>
          <t>Requirements &amp; Planning</t>
        </is>
      </c>
      <c r="B13" s="28" t="inlineStr">
        <is>
          <t>AI helps generate user stories, find edge cases, build prototypes quickly?</t>
        </is>
      </c>
      <c r="C13" s="28" t="inlineStr">
        <is>
          <t>From description → prototype in minutes; humans set scope.</t>
        </is>
      </c>
    </row>
    <row r="14" ht="35.1" customHeight="1">
      <c r="A14" s="27" t="inlineStr">
        <is>
          <t>Design &amp; Architecture</t>
        </is>
      </c>
      <c r="B14" s="28" t="inlineStr">
        <is>
          <t>Architecture by humans, AI implements per docs?</t>
        </is>
      </c>
      <c r="C14" s="28" t="inlineStr">
        <is>
          <t>Humans own trade-offs; AI scaffolds per docs.</t>
        </is>
      </c>
    </row>
    <row r="15" ht="35.1" customHeight="1">
      <c r="A15" s="27" t="inlineStr">
        <is>
          <t>Implementation</t>
        </is>
      </c>
      <c r="B15" s="28" t="inlineStr">
        <is>
          <t>AI generates code within spec and always reviewed?</t>
        </is>
      </c>
      <c r="C15" s="28" t="inlineStr">
        <is>
          <t>AI does the repetitive part; humans do the hard 20%.</t>
        </is>
      </c>
    </row>
    <row r="16" ht="23.85" customHeight="1">
      <c r="A16" s="27" t="inlineStr">
        <is>
          <t>Testing &amp; QA</t>
        </is>
      </c>
      <c r="B16" s="28" t="inlineStr">
        <is>
          <t>AI generates tests/edge cases, checks output + trajectory?</t>
        </is>
      </c>
      <c r="C16" s="28" t="inlineStr">
        <is>
          <t>Evals encode 'correct' &amp; run automatically in CI.</t>
        </is>
      </c>
    </row>
    <row r="17" ht="35.1" customHeight="1">
      <c r="A17" s="27" t="inlineStr">
        <is>
          <t>Review &amp; Deployment</t>
        </is>
      </c>
      <c r="B17" s="28" t="inlineStr">
        <is>
          <t>AI reviews the first pass before humans look?</t>
        </is>
      </c>
      <c r="C17" s="28" t="inlineStr">
        <is>
          <t>AI is the first reviewer; humans decide design.</t>
        </is>
      </c>
    </row>
    <row r="18" ht="35.1" customHeight="1">
      <c r="A18" s="27" t="inlineStr">
        <is>
          <t>Maintenance</t>
        </is>
      </c>
      <c r="B18" s="28" t="inlineStr">
        <is>
          <t>AI helps understand &amp; refactor legacy safely?</t>
        </is>
      </c>
      <c r="C18" s="28" t="inlineStr">
        <is>
          <t>Code once 'too risky' now refactored under control.</t>
        </is>
      </c>
    </row>
  </sheetData>
  <dataValidations count="1">
    <dataValidation sqref="C5:C10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zoomScaleNormal="100" workbookViewId="0">
      <selection activeCell="B7" sqref="B7"/>
    </sheetView>
  </sheetViews>
  <sheetFormatPr baseColWidth="8" defaultColWidth="8.7109375" defaultRowHeight="15"/>
  <cols>
    <col width="16" customWidth="1" min="1" max="1"/>
    <col width="10" customWidth="1" min="2" max="2"/>
    <col width="46" customWidth="1" min="3" max="3"/>
  </cols>
  <sheetData>
    <row r="1" ht="19.7" customHeight="1">
      <c r="A1" s="1" t="inlineStr">
        <is>
          <t>PROJECT PROFILE</t>
        </is>
      </c>
    </row>
    <row r="2"/>
    <row r="3">
      <c r="A3" s="2" t="inlineStr">
        <is>
          <t>Select project:</t>
        </is>
      </c>
      <c r="B3" s="30" t="inlineStr">
        <is>
          <t>Platform-Team</t>
        </is>
      </c>
      <c r="D3" s="17" t="inlineStr">
        <is>
          <t>ProjectID:</t>
        </is>
      </c>
      <c r="E3" s="17">
        <f>IFERROR(INDEX('2. Projects'!$A$3:$A$20,MATCH($B$3,'2. Projects'!$B$3:$B$20,0)),"")</f>
        <v/>
      </c>
    </row>
    <row r="4">
      <c r="A4" s="2" t="inlineStr">
        <is>
          <t>Select quarter:</t>
        </is>
      </c>
      <c r="B4" s="30" t="inlineStr">
        <is>
          <t>2026-Q1</t>
        </is>
      </c>
      <c r="D4" s="17" t="inlineStr">
        <is>
          <t>Key:</t>
        </is>
      </c>
      <c r="E4" s="17">
        <f>IF($E$3="","",$E$3&amp;"|"&amp;$B$4)</f>
        <v/>
      </c>
    </row>
    <row r="5"/>
    <row r="6">
      <c r="A6" s="8" t="inlineStr">
        <is>
          <t>Dimension</t>
        </is>
      </c>
      <c r="B6" s="8" t="inlineStr">
        <is>
          <t>Level</t>
        </is>
      </c>
      <c r="C6" s="8" t="inlineStr">
        <is>
          <t>Evidence</t>
        </is>
      </c>
    </row>
    <row r="7">
      <c r="A7" s="31" t="inlineStr">
        <is>
          <t>A. Adoption</t>
        </is>
      </c>
      <c r="B7" s="9">
        <f>IFERROR(INDEX('6. Levels'!$N:$N,MATCH($E$4,'6. Levels'!$T:$T,0)),"")</f>
        <v/>
      </c>
      <c r="C7" s="32">
        <f>IFERROR(INDEX('4. Quarterly'!$AB:$AB,MATCH($E$4,'4. Quarterly'!$AH:$AH,0)),"")</f>
        <v/>
      </c>
    </row>
    <row r="8">
      <c r="A8" s="31" t="inlineStr">
        <is>
          <t>B. Delivery</t>
        </is>
      </c>
      <c r="B8" s="9">
        <f>IFERROR(INDEX('6. Levels'!$O:$O,MATCH($E$4,'6. Levels'!$T:$T,0)),"")</f>
        <v/>
      </c>
      <c r="C8" s="32">
        <f>IFERROR(INDEX('4. Quarterly'!$AC:$AC,MATCH($E$4,'4. Quarterly'!$AH:$AH,0)),"")</f>
        <v/>
      </c>
    </row>
    <row r="9">
      <c r="A9" s="31" t="inlineStr">
        <is>
          <t>C. Quality</t>
        </is>
      </c>
      <c r="B9" s="9">
        <f>IFERROR(INDEX('6. Levels'!$P:$P,MATCH($E$4,'6. Levels'!$T:$T,0)),"")</f>
        <v/>
      </c>
      <c r="C9" s="32">
        <f>IFERROR(INDEX('4. Quarterly'!$AD:$AD,MATCH($E$4,'4. Quarterly'!$AH:$AH,0)),"")</f>
        <v/>
      </c>
    </row>
    <row r="10">
      <c r="A10" s="31" t="inlineStr">
        <is>
          <t>D. Agent</t>
        </is>
      </c>
      <c r="B10" s="9">
        <f>IFERROR(INDEX('6. Levels'!$Q:$Q,MATCH($E$4,'6. Levels'!$T:$T,0)),"")</f>
        <v/>
      </c>
      <c r="C10" s="32">
        <f>IFERROR(INDEX('4. Quarterly'!$AE:$AE,MATCH($E$4,'4. Quarterly'!$AH:$AH,0)),"")</f>
        <v/>
      </c>
    </row>
    <row r="11">
      <c r="A11" s="31" t="inlineStr">
        <is>
          <t>E. Governance</t>
        </is>
      </c>
      <c r="B11" s="9">
        <f>IFERROR(INDEX('6. Levels'!$R:$R,MATCH($E$4,'6. Levels'!$T:$T,0)),"")</f>
        <v/>
      </c>
      <c r="C11" s="32">
        <f>IFERROR(INDEX('4. Quarterly'!$AF:$AF,MATCH($E$4,'4. Quarterly'!$AH:$AH,0)),"")</f>
        <v/>
      </c>
    </row>
    <row r="12" ht="22.35" customHeight="1">
      <c r="A12" s="33" t="inlineStr">
        <is>
          <t>OVERALL</t>
        </is>
      </c>
      <c r="B12" s="34">
        <f>IFERROR(INDEX('6. Levels'!$S:$S,MATCH($E$4,'6. Levels'!$T:$T,0)),"")</f>
        <v/>
      </c>
      <c r="C12" s="32">
        <f>IFERROR(INDEX('4. Quarterly'!$AG:$AG,MATCH($E$4,'4. Quarterly'!$AH:$AH,0)),"")</f>
        <v/>
      </c>
    </row>
    <row r="13"/>
    <row r="14"/>
    <row r="15"/>
    <row r="16"/>
    <row r="17"/>
    <row r="18"/>
    <row r="19">
      <c r="A19" s="35" t="inlineStr">
        <is>
          <t>MONTHLY TREND (selected project)</t>
        </is>
      </c>
    </row>
    <row r="20">
      <c r="A20" s="8" t="inlineStr">
        <is>
          <t>Month</t>
        </is>
      </c>
      <c r="B20" s="8" t="inlineStr">
        <is>
          <t>AI usage %</t>
        </is>
      </c>
      <c r="C20" s="8" t="inlineStr">
        <is>
          <t>AI PR %</t>
        </is>
      </c>
      <c r="D20" s="8" t="inlineStr">
        <is>
          <t>CFR %</t>
        </is>
      </c>
      <c r="E20" s="8" t="inlineStr">
        <is>
          <t>Rework %</t>
        </is>
      </c>
    </row>
    <row r="21">
      <c r="A21" s="36" t="n">
        <v>46023</v>
      </c>
      <c r="B21" s="37">
        <f>IF($E$3="","",IFERROR(AVERAGEIFS('5. Metrics'!$D$4:$D$203,'5. Metrics'!$A$4:$A$203,$E$3,'5. Metrics'!$B$4:$B$203,$A21),""))</f>
        <v/>
      </c>
      <c r="C21" s="37">
        <f>IF($E$3="","",IFERROR(AVERAGEIFS('5. Metrics'!$E$4:$E$203,'5. Metrics'!$A$4:$A$203,$E$3,'5. Metrics'!$B$4:$B$203,$A21),""))</f>
        <v/>
      </c>
      <c r="D21" s="37">
        <f>IF($E$3="","",IFERROR(AVERAGEIFS('5. Metrics'!$I$4:$I$203,'5. Metrics'!$A$4:$A$203,$E$3,'5. Metrics'!$B$4:$B$203,$A21),""))</f>
        <v/>
      </c>
      <c r="E21" s="37">
        <f>IF($E$3="","",IFERROR(AVERAGEIFS('5. Metrics'!$L$4:$L$203,'5. Metrics'!$A$4:$A$203,$E$3,'5. Metrics'!$B$4:$B$203,$A21),""))</f>
        <v/>
      </c>
    </row>
    <row r="22">
      <c r="A22" s="36" t="n">
        <v>46054</v>
      </c>
      <c r="B22" s="37">
        <f>IF($E$3="","",IFERROR(AVERAGEIFS('5. Metrics'!$D$4:$D$203,'5. Metrics'!$A$4:$A$203,$E$3,'5. Metrics'!$B$4:$B$203,$A22),""))</f>
        <v/>
      </c>
      <c r="C22" s="37">
        <f>IF($E$3="","",IFERROR(AVERAGEIFS('5. Metrics'!$E$4:$E$203,'5. Metrics'!$A$4:$A$203,$E$3,'5. Metrics'!$B$4:$B$203,$A22),""))</f>
        <v/>
      </c>
      <c r="D22" s="37">
        <f>IF($E$3="","",IFERROR(AVERAGEIFS('5. Metrics'!$I$4:$I$203,'5. Metrics'!$A$4:$A$203,$E$3,'5. Metrics'!$B$4:$B$203,$A22),""))</f>
        <v/>
      </c>
      <c r="E22" s="37">
        <f>IF($E$3="","",IFERROR(AVERAGEIFS('5. Metrics'!$L$4:$L$203,'5. Metrics'!$A$4:$A$203,$E$3,'5. Metrics'!$B$4:$B$203,$A22),""))</f>
        <v/>
      </c>
    </row>
    <row r="23">
      <c r="A23" s="36" t="n">
        <v>46082</v>
      </c>
      <c r="B23" s="37">
        <f>IF($E$3="","",IFERROR(AVERAGEIFS('5. Metrics'!$D$4:$D$203,'5. Metrics'!$A$4:$A$203,$E$3,'5. Metrics'!$B$4:$B$203,$A23),""))</f>
        <v/>
      </c>
      <c r="C23" s="37">
        <f>IF($E$3="","",IFERROR(AVERAGEIFS('5. Metrics'!$E$4:$E$203,'5. Metrics'!$A$4:$A$203,$E$3,'5. Metrics'!$B$4:$B$203,$A23),""))</f>
        <v/>
      </c>
      <c r="D23" s="37">
        <f>IF($E$3="","",IFERROR(AVERAGEIFS('5. Metrics'!$I$4:$I$203,'5. Metrics'!$A$4:$A$203,$E$3,'5. Metrics'!$B$4:$B$203,$A23),""))</f>
        <v/>
      </c>
      <c r="E23" s="37">
        <f>IF($E$3="","",IFERROR(AVERAGEIFS('5. Metrics'!$L$4:$L$203,'5. Metrics'!$A$4:$A$203,$E$3,'5. Metrics'!$B$4:$B$203,$A23),""))</f>
        <v/>
      </c>
    </row>
    <row r="24">
      <c r="A24" s="36" t="n">
        <v>46113</v>
      </c>
      <c r="B24" s="37">
        <f>IF($E$3="","",IFERROR(AVERAGEIFS('5. Metrics'!$D$4:$D$203,'5. Metrics'!$A$4:$A$203,$E$3,'5. Metrics'!$B$4:$B$203,$A24),""))</f>
        <v/>
      </c>
      <c r="C24" s="37">
        <f>IF($E$3="","",IFERROR(AVERAGEIFS('5. Metrics'!$E$4:$E$203,'5. Metrics'!$A$4:$A$203,$E$3,'5. Metrics'!$B$4:$B$203,$A24),""))</f>
        <v/>
      </c>
      <c r="D24" s="37">
        <f>IF($E$3="","",IFERROR(AVERAGEIFS('5. Metrics'!$I$4:$I$203,'5. Metrics'!$A$4:$A$203,$E$3,'5. Metrics'!$B$4:$B$203,$A24),""))</f>
        <v/>
      </c>
      <c r="E24" s="37">
        <f>IF($E$3="","",IFERROR(AVERAGEIFS('5. Metrics'!$L$4:$L$203,'5. Metrics'!$A$4:$A$203,$E$3,'5. Metrics'!$B$4:$B$203,$A24),""))</f>
        <v/>
      </c>
    </row>
    <row r="25">
      <c r="A25" s="36" t="n">
        <v>46143</v>
      </c>
      <c r="B25" s="37">
        <f>IF($E$3="","",IFERROR(AVERAGEIFS('5. Metrics'!$D$4:$D$203,'5. Metrics'!$A$4:$A$203,$E$3,'5. Metrics'!$B$4:$B$203,$A25),""))</f>
        <v/>
      </c>
      <c r="C25" s="37">
        <f>IF($E$3="","",IFERROR(AVERAGEIFS('5. Metrics'!$E$4:$E$203,'5. Metrics'!$A$4:$A$203,$E$3,'5. Metrics'!$B$4:$B$203,$A25),""))</f>
        <v/>
      </c>
      <c r="D25" s="37">
        <f>IF($E$3="","",IFERROR(AVERAGEIFS('5. Metrics'!$I$4:$I$203,'5. Metrics'!$A$4:$A$203,$E$3,'5. Metrics'!$B$4:$B$203,$A25),""))</f>
        <v/>
      </c>
      <c r="E25" s="37">
        <f>IF($E$3="","",IFERROR(AVERAGEIFS('5. Metrics'!$L$4:$L$203,'5. Metrics'!$A$4:$A$203,$E$3,'5. Metrics'!$B$4:$B$203,$A25),""))</f>
        <v/>
      </c>
    </row>
    <row r="26">
      <c r="A26" s="36" t="n">
        <v>46174</v>
      </c>
      <c r="B26" s="37">
        <f>IF($E$3="","",IFERROR(AVERAGEIFS('5. Metrics'!$D$4:$D$203,'5. Metrics'!$A$4:$A$203,$E$3,'5. Metrics'!$B$4:$B$203,$A26),""))</f>
        <v/>
      </c>
      <c r="C26" s="37">
        <f>IF($E$3="","",IFERROR(AVERAGEIFS('5. Metrics'!$E$4:$E$203,'5. Metrics'!$A$4:$A$203,$E$3,'5. Metrics'!$B$4:$B$203,$A26),""))</f>
        <v/>
      </c>
      <c r="D26" s="37">
        <f>IF($E$3="","",IFERROR(AVERAGEIFS('5. Metrics'!$I$4:$I$203,'5. Metrics'!$A$4:$A$203,$E$3,'5. Metrics'!$B$4:$B$203,$A26),""))</f>
        <v/>
      </c>
      <c r="E26" s="37">
        <f>IF($E$3="","",IFERROR(AVERAGEIFS('5. Metrics'!$L$4:$L$203,'5. Metrics'!$A$4:$A$203,$E$3,'5. Metrics'!$B$4:$B$203,$A26),""))</f>
        <v/>
      </c>
    </row>
    <row r="27">
      <c r="A27" s="36" t="n">
        <v>46204</v>
      </c>
      <c r="B27" s="37">
        <f>IF($E$3="","",IFERROR(AVERAGEIFS('5. Metrics'!$D$4:$D$203,'5. Metrics'!$A$4:$A$203,$E$3,'5. Metrics'!$B$4:$B$203,$A27),""))</f>
        <v/>
      </c>
      <c r="C27" s="37">
        <f>IF($E$3="","",IFERROR(AVERAGEIFS('5. Metrics'!$E$4:$E$203,'5. Metrics'!$A$4:$A$203,$E$3,'5. Metrics'!$B$4:$B$203,$A27),""))</f>
        <v/>
      </c>
      <c r="D27" s="37">
        <f>IF($E$3="","",IFERROR(AVERAGEIFS('5. Metrics'!$I$4:$I$203,'5. Metrics'!$A$4:$A$203,$E$3,'5. Metrics'!$B$4:$B$203,$A27),""))</f>
        <v/>
      </c>
      <c r="E27" s="37">
        <f>IF($E$3="","",IFERROR(AVERAGEIFS('5. Metrics'!$L$4:$L$203,'5. Metrics'!$A$4:$A$203,$E$3,'5. Metrics'!$B$4:$B$203,$A27),""))</f>
        <v/>
      </c>
    </row>
    <row r="28">
      <c r="A28" s="36" t="n">
        <v>46235</v>
      </c>
      <c r="B28" s="37">
        <f>IF($E$3="","",IFERROR(AVERAGEIFS('5. Metrics'!$D$4:$D$203,'5. Metrics'!$A$4:$A$203,$E$3,'5. Metrics'!$B$4:$B$203,$A28),""))</f>
        <v/>
      </c>
      <c r="C28" s="37">
        <f>IF($E$3="","",IFERROR(AVERAGEIFS('5. Metrics'!$E$4:$E$203,'5. Metrics'!$A$4:$A$203,$E$3,'5. Metrics'!$B$4:$B$203,$A28),""))</f>
        <v/>
      </c>
      <c r="D28" s="37">
        <f>IF($E$3="","",IFERROR(AVERAGEIFS('5. Metrics'!$I$4:$I$203,'5. Metrics'!$A$4:$A$203,$E$3,'5. Metrics'!$B$4:$B$203,$A28),""))</f>
        <v/>
      </c>
      <c r="E28" s="37">
        <f>IF($E$3="","",IFERROR(AVERAGEIFS('5. Metrics'!$L$4:$L$203,'5. Metrics'!$A$4:$A$203,$E$3,'5. Metrics'!$B$4:$B$203,$A28),""))</f>
        <v/>
      </c>
    </row>
    <row r="29">
      <c r="A29" s="36" t="n">
        <v>46266</v>
      </c>
      <c r="B29" s="37">
        <f>IF($E$3="","",IFERROR(AVERAGEIFS('5. Metrics'!$D$4:$D$203,'5. Metrics'!$A$4:$A$203,$E$3,'5. Metrics'!$B$4:$B$203,$A29),""))</f>
        <v/>
      </c>
      <c r="C29" s="37">
        <f>IF($E$3="","",IFERROR(AVERAGEIFS('5. Metrics'!$E$4:$E$203,'5. Metrics'!$A$4:$A$203,$E$3,'5. Metrics'!$B$4:$B$203,$A29),""))</f>
        <v/>
      </c>
      <c r="D29" s="37">
        <f>IF($E$3="","",IFERROR(AVERAGEIFS('5. Metrics'!$I$4:$I$203,'5. Metrics'!$A$4:$A$203,$E$3,'5. Metrics'!$B$4:$B$203,$A29),""))</f>
        <v/>
      </c>
      <c r="E29" s="37">
        <f>IF($E$3="","",IFERROR(AVERAGEIFS('5. Metrics'!$L$4:$L$203,'5. Metrics'!$A$4:$A$203,$E$3,'5. Metrics'!$B$4:$B$203,$A29),""))</f>
        <v/>
      </c>
    </row>
    <row r="30">
      <c r="A30" s="36" t="n">
        <v>46296</v>
      </c>
      <c r="B30" s="37">
        <f>IF($E$3="","",IFERROR(AVERAGEIFS('5. Metrics'!$D$4:$D$203,'5. Metrics'!$A$4:$A$203,$E$3,'5. Metrics'!$B$4:$B$203,$A30),""))</f>
        <v/>
      </c>
      <c r="C30" s="37">
        <f>IF($E$3="","",IFERROR(AVERAGEIFS('5. Metrics'!$E$4:$E$203,'5. Metrics'!$A$4:$A$203,$E$3,'5. Metrics'!$B$4:$B$203,$A30),""))</f>
        <v/>
      </c>
      <c r="D30" s="37">
        <f>IF($E$3="","",IFERROR(AVERAGEIFS('5. Metrics'!$I$4:$I$203,'5. Metrics'!$A$4:$A$203,$E$3,'5. Metrics'!$B$4:$B$203,$A30),""))</f>
        <v/>
      </c>
      <c r="E30" s="37">
        <f>IF($E$3="","",IFERROR(AVERAGEIFS('5. Metrics'!$L$4:$L$203,'5. Metrics'!$A$4:$A$203,$E$3,'5. Metrics'!$B$4:$B$203,$A30),""))</f>
        <v/>
      </c>
    </row>
    <row r="31">
      <c r="A31" s="36" t="n">
        <v>46327</v>
      </c>
      <c r="B31" s="37">
        <f>IF($E$3="","",IFERROR(AVERAGEIFS('5. Metrics'!$D$4:$D$203,'5. Metrics'!$A$4:$A$203,$E$3,'5. Metrics'!$B$4:$B$203,$A31),""))</f>
        <v/>
      </c>
      <c r="C31" s="37">
        <f>IF($E$3="","",IFERROR(AVERAGEIFS('5. Metrics'!$E$4:$E$203,'5. Metrics'!$A$4:$A$203,$E$3,'5. Metrics'!$B$4:$B$203,$A31),""))</f>
        <v/>
      </c>
      <c r="D31" s="37">
        <f>IF($E$3="","",IFERROR(AVERAGEIFS('5. Metrics'!$I$4:$I$203,'5. Metrics'!$A$4:$A$203,$E$3,'5. Metrics'!$B$4:$B$203,$A31),""))</f>
        <v/>
      </c>
      <c r="E31" s="37">
        <f>IF($E$3="","",IFERROR(AVERAGEIFS('5. Metrics'!$L$4:$L$203,'5. Metrics'!$A$4:$A$203,$E$3,'5. Metrics'!$B$4:$B$203,$A31),""))</f>
        <v/>
      </c>
    </row>
    <row r="32">
      <c r="A32" s="36" t="n">
        <v>46357</v>
      </c>
      <c r="B32" s="37">
        <f>IF($E$3="","",IFERROR(AVERAGEIFS('5. Metrics'!$D$4:$D$203,'5. Metrics'!$A$4:$A$203,$E$3,'5. Metrics'!$B$4:$B$203,$A32),""))</f>
        <v/>
      </c>
      <c r="C32" s="37">
        <f>IF($E$3="","",IFERROR(AVERAGEIFS('5. Metrics'!$E$4:$E$203,'5. Metrics'!$A$4:$A$203,$E$3,'5. Metrics'!$B$4:$B$203,$A32),""))</f>
        <v/>
      </c>
      <c r="D32" s="37">
        <f>IF($E$3="","",IFERROR(AVERAGEIFS('5. Metrics'!$I$4:$I$203,'5. Metrics'!$A$4:$A$203,$E$3,'5. Metrics'!$B$4:$B$203,$A32),""))</f>
        <v/>
      </c>
      <c r="E32" s="37">
        <f>IF($E$3="","",IFERROR(AVERAGEIFS('5. Metrics'!$L$4:$L$203,'5. Metrics'!$A$4:$A$203,$E$3,'5. Metrics'!$B$4:$B$203,$A32),""))</f>
        <v/>
      </c>
    </row>
  </sheetData>
  <conditionalFormatting sqref="B7:B1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sqref="B4" showDropDown="0" showInputMessage="0" showErrorMessage="0" allowBlank="0" type="list">
      <formula1>"2026-Q1,2026-Q2,2026-Q3,2026-Q4"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2" customWidth="1" min="1" max="1"/>
    <col width="9" customWidth="1" min="2" max="7"/>
    <col width="6" customWidth="1" min="9" max="9"/>
    <col width="12" customWidth="1" min="10" max="10"/>
  </cols>
  <sheetData>
    <row r="1" ht="19.7" customHeight="1">
      <c r="A1" s="1" t="inlineStr">
        <is>
          <t>PORTFOLIO — all projects by quarter</t>
        </is>
      </c>
    </row>
    <row r="2"/>
    <row r="3">
      <c r="A3" s="2" t="inlineStr">
        <is>
          <t>Select quarter:</t>
        </is>
      </c>
      <c r="B3" s="30" t="inlineStr">
        <is>
          <t>2026-Q1</t>
        </is>
      </c>
    </row>
    <row r="4"/>
    <row r="5">
      <c r="A5" s="8" t="inlineStr">
        <is>
          <t>Project</t>
        </is>
      </c>
      <c r="B5" s="8" t="inlineStr">
        <is>
          <t>A</t>
        </is>
      </c>
      <c r="C5" s="8" t="inlineStr">
        <is>
          <t>B</t>
        </is>
      </c>
      <c r="D5" s="8" t="inlineStr">
        <is>
          <t>C</t>
        </is>
      </c>
      <c r="E5" s="8" t="inlineStr">
        <is>
          <t>D</t>
        </is>
      </c>
      <c r="F5" s="8" t="inlineStr">
        <is>
          <t>E</t>
        </is>
      </c>
      <c r="G5" s="8" t="inlineStr">
        <is>
          <t>OVERALL</t>
        </is>
      </c>
    </row>
    <row r="6">
      <c r="A6" s="38">
        <f>IFERROR('2. Projects'!$B$3,"")</f>
        <v/>
      </c>
      <c r="B6" s="9">
        <f>IFERROR(INDEX('6. Levels'!$N:$N,MATCH($J6,'6. Levels'!$T:$T,0)),"")</f>
        <v/>
      </c>
      <c r="C6" s="9">
        <f>IFERROR(INDEX('6. Levels'!$O:$O,MATCH($J6,'6. Levels'!$T:$T,0)),"")</f>
        <v/>
      </c>
      <c r="D6" s="9">
        <f>IFERROR(INDEX('6. Levels'!$P:$P,MATCH($J6,'6. Levels'!$T:$T,0)),"")</f>
        <v/>
      </c>
      <c r="E6" s="9">
        <f>IFERROR(INDEX('6. Levels'!$Q:$Q,MATCH($J6,'6. Levels'!$T:$T,0)),"")</f>
        <v/>
      </c>
      <c r="F6" s="9">
        <f>IFERROR(INDEX('6. Levels'!$R:$R,MATCH($J6,'6. Levels'!$T:$T,0)),"")</f>
        <v/>
      </c>
      <c r="G6" s="9">
        <f>IFERROR(INDEX('6. Levels'!$S:$S,MATCH($J6,'6. Levels'!$T:$T,0)),"")</f>
        <v/>
      </c>
      <c r="I6" s="17">
        <f>IFERROR('2. Projects'!$A$3,"")</f>
        <v/>
      </c>
      <c r="J6" s="17">
        <f>IF($I6="","",$I6&amp;"|"&amp;$B$3)</f>
        <v/>
      </c>
    </row>
    <row r="7">
      <c r="A7" s="38">
        <f>IFERROR('2. Projects'!$B$4,"")</f>
        <v/>
      </c>
      <c r="B7" s="9">
        <f>IFERROR(INDEX('6. Levels'!$N:$N,MATCH($J7,'6. Levels'!$T:$T,0)),"")</f>
        <v/>
      </c>
      <c r="C7" s="9">
        <f>IFERROR(INDEX('6. Levels'!$O:$O,MATCH($J7,'6. Levels'!$T:$T,0)),"")</f>
        <v/>
      </c>
      <c r="D7" s="9">
        <f>IFERROR(INDEX('6. Levels'!$P:$P,MATCH($J7,'6. Levels'!$T:$T,0)),"")</f>
        <v/>
      </c>
      <c r="E7" s="9">
        <f>IFERROR(INDEX('6. Levels'!$Q:$Q,MATCH($J7,'6. Levels'!$T:$T,0)),"")</f>
        <v/>
      </c>
      <c r="F7" s="9">
        <f>IFERROR(INDEX('6. Levels'!$R:$R,MATCH($J7,'6. Levels'!$T:$T,0)),"")</f>
        <v/>
      </c>
      <c r="G7" s="9">
        <f>IFERROR(INDEX('6. Levels'!$S:$S,MATCH($J7,'6. Levels'!$T:$T,0)),"")</f>
        <v/>
      </c>
      <c r="I7" s="17">
        <f>IFERROR('2. Projects'!$A$4,"")</f>
        <v/>
      </c>
      <c r="J7" s="17">
        <f>IF($I7="","",$I7&amp;"|"&amp;$B$3)</f>
        <v/>
      </c>
    </row>
    <row r="8">
      <c r="A8" s="38">
        <f>IFERROR('2. Projects'!$B$5,"")</f>
        <v/>
      </c>
      <c r="B8" s="9">
        <f>IFERROR(INDEX('6. Levels'!$N:$N,MATCH($J8,'6. Levels'!$T:$T,0)),"")</f>
        <v/>
      </c>
      <c r="C8" s="9">
        <f>IFERROR(INDEX('6. Levels'!$O:$O,MATCH($J8,'6. Levels'!$T:$T,0)),"")</f>
        <v/>
      </c>
      <c r="D8" s="9">
        <f>IFERROR(INDEX('6. Levels'!$P:$P,MATCH($J8,'6. Levels'!$T:$T,0)),"")</f>
        <v/>
      </c>
      <c r="E8" s="9">
        <f>IFERROR(INDEX('6. Levels'!$Q:$Q,MATCH($J8,'6. Levels'!$T:$T,0)),"")</f>
        <v/>
      </c>
      <c r="F8" s="9">
        <f>IFERROR(INDEX('6. Levels'!$R:$R,MATCH($J8,'6. Levels'!$T:$T,0)),"")</f>
        <v/>
      </c>
      <c r="G8" s="9">
        <f>IFERROR(INDEX('6. Levels'!$S:$S,MATCH($J8,'6. Levels'!$T:$T,0)),"")</f>
        <v/>
      </c>
      <c r="I8" s="17">
        <f>IFERROR('2. Projects'!$A$5,"")</f>
        <v/>
      </c>
      <c r="J8" s="17">
        <f>IF($I8="","",$I8&amp;"|"&amp;$B$3)</f>
        <v/>
      </c>
    </row>
    <row r="9">
      <c r="A9" s="38">
        <f>IFERROR('2. Projects'!$B$6,"")</f>
        <v/>
      </c>
      <c r="B9" s="9">
        <f>IFERROR(INDEX('6. Levels'!$N:$N,MATCH($J9,'6. Levels'!$T:$T,0)),"")</f>
        <v/>
      </c>
      <c r="C9" s="9">
        <f>IFERROR(INDEX('6. Levels'!$O:$O,MATCH($J9,'6. Levels'!$T:$T,0)),"")</f>
        <v/>
      </c>
      <c r="D9" s="9">
        <f>IFERROR(INDEX('6. Levels'!$P:$P,MATCH($J9,'6. Levels'!$T:$T,0)),"")</f>
        <v/>
      </c>
      <c r="E9" s="9">
        <f>IFERROR(INDEX('6. Levels'!$Q:$Q,MATCH($J9,'6. Levels'!$T:$T,0)),"")</f>
        <v/>
      </c>
      <c r="F9" s="9">
        <f>IFERROR(INDEX('6. Levels'!$R:$R,MATCH($J9,'6. Levels'!$T:$T,0)),"")</f>
        <v/>
      </c>
      <c r="G9" s="9">
        <f>IFERROR(INDEX('6. Levels'!$S:$S,MATCH($J9,'6. Levels'!$T:$T,0)),"")</f>
        <v/>
      </c>
      <c r="I9" s="17">
        <f>IFERROR('2. Projects'!$A$6,"")</f>
        <v/>
      </c>
      <c r="J9" s="17">
        <f>IF($I9="","",$I9&amp;"|"&amp;$B$3)</f>
        <v/>
      </c>
    </row>
    <row r="10">
      <c r="A10" s="38">
        <f>IFERROR('2. Projects'!$B$7,"")</f>
        <v/>
      </c>
      <c r="B10" s="9">
        <f>IFERROR(INDEX('6. Levels'!$N:$N,MATCH($J10,'6. Levels'!$T:$T,0)),"")</f>
        <v/>
      </c>
      <c r="C10" s="9">
        <f>IFERROR(INDEX('6. Levels'!$O:$O,MATCH($J10,'6. Levels'!$T:$T,0)),"")</f>
        <v/>
      </c>
      <c r="D10" s="9">
        <f>IFERROR(INDEX('6. Levels'!$P:$P,MATCH($J10,'6. Levels'!$T:$T,0)),"")</f>
        <v/>
      </c>
      <c r="E10" s="9">
        <f>IFERROR(INDEX('6. Levels'!$Q:$Q,MATCH($J10,'6. Levels'!$T:$T,0)),"")</f>
        <v/>
      </c>
      <c r="F10" s="9">
        <f>IFERROR(INDEX('6. Levels'!$R:$R,MATCH($J10,'6. Levels'!$T:$T,0)),"")</f>
        <v/>
      </c>
      <c r="G10" s="9">
        <f>IFERROR(INDEX('6. Levels'!$S:$S,MATCH($J10,'6. Levels'!$T:$T,0)),"")</f>
        <v/>
      </c>
      <c r="I10" s="17">
        <f>IFERROR('2. Projects'!$A$7,"")</f>
        <v/>
      </c>
      <c r="J10" s="17">
        <f>IF($I10="","",$I10&amp;"|"&amp;$B$3)</f>
        <v/>
      </c>
    </row>
    <row r="11">
      <c r="A11" s="38">
        <f>IFERROR('2. Projects'!$B$8,"")</f>
        <v/>
      </c>
      <c r="B11" s="9">
        <f>IFERROR(INDEX('6. Levels'!$N:$N,MATCH($J11,'6. Levels'!$T:$T,0)),"")</f>
        <v/>
      </c>
      <c r="C11" s="9">
        <f>IFERROR(INDEX('6. Levels'!$O:$O,MATCH($J11,'6. Levels'!$T:$T,0)),"")</f>
        <v/>
      </c>
      <c r="D11" s="9">
        <f>IFERROR(INDEX('6. Levels'!$P:$P,MATCH($J11,'6. Levels'!$T:$T,0)),"")</f>
        <v/>
      </c>
      <c r="E11" s="9">
        <f>IFERROR(INDEX('6. Levels'!$Q:$Q,MATCH($J11,'6. Levels'!$T:$T,0)),"")</f>
        <v/>
      </c>
      <c r="F11" s="9">
        <f>IFERROR(INDEX('6. Levels'!$R:$R,MATCH($J11,'6. Levels'!$T:$T,0)),"")</f>
        <v/>
      </c>
      <c r="G11" s="9">
        <f>IFERROR(INDEX('6. Levels'!$S:$S,MATCH($J11,'6. Levels'!$T:$T,0)),"")</f>
        <v/>
      </c>
      <c r="I11" s="17">
        <f>IFERROR('2. Projects'!$A$8,"")</f>
        <v/>
      </c>
      <c r="J11" s="17">
        <f>IF($I11="","",$I11&amp;"|"&amp;$B$3)</f>
        <v/>
      </c>
    </row>
    <row r="12">
      <c r="A12" s="38">
        <f>IFERROR('2. Projects'!$B$9,"")</f>
        <v/>
      </c>
      <c r="B12" s="9">
        <f>IFERROR(INDEX('6. Levels'!$N:$N,MATCH($J12,'6. Levels'!$T:$T,0)),"")</f>
        <v/>
      </c>
      <c r="C12" s="9">
        <f>IFERROR(INDEX('6. Levels'!$O:$O,MATCH($J12,'6. Levels'!$T:$T,0)),"")</f>
        <v/>
      </c>
      <c r="D12" s="9">
        <f>IFERROR(INDEX('6. Levels'!$P:$P,MATCH($J12,'6. Levels'!$T:$T,0)),"")</f>
        <v/>
      </c>
      <c r="E12" s="9">
        <f>IFERROR(INDEX('6. Levels'!$Q:$Q,MATCH($J12,'6. Levels'!$T:$T,0)),"")</f>
        <v/>
      </c>
      <c r="F12" s="9">
        <f>IFERROR(INDEX('6. Levels'!$R:$R,MATCH($J12,'6. Levels'!$T:$T,0)),"")</f>
        <v/>
      </c>
      <c r="G12" s="9">
        <f>IFERROR(INDEX('6. Levels'!$S:$S,MATCH($J12,'6. Levels'!$T:$T,0)),"")</f>
        <v/>
      </c>
      <c r="I12" s="17">
        <f>IFERROR('2. Projects'!$A$9,"")</f>
        <v/>
      </c>
      <c r="J12" s="17">
        <f>IF($I12="","",$I12&amp;"|"&amp;$B$3)</f>
        <v/>
      </c>
    </row>
    <row r="13">
      <c r="A13" s="38">
        <f>IFERROR('2. Projects'!$B$10,"")</f>
        <v/>
      </c>
      <c r="B13" s="9">
        <f>IFERROR(INDEX('6. Levels'!$N:$N,MATCH($J13,'6. Levels'!$T:$T,0)),"")</f>
        <v/>
      </c>
      <c r="C13" s="9">
        <f>IFERROR(INDEX('6. Levels'!$O:$O,MATCH($J13,'6. Levels'!$T:$T,0)),"")</f>
        <v/>
      </c>
      <c r="D13" s="9">
        <f>IFERROR(INDEX('6. Levels'!$P:$P,MATCH($J13,'6. Levels'!$T:$T,0)),"")</f>
        <v/>
      </c>
      <c r="E13" s="9">
        <f>IFERROR(INDEX('6. Levels'!$Q:$Q,MATCH($J13,'6. Levels'!$T:$T,0)),"")</f>
        <v/>
      </c>
      <c r="F13" s="9">
        <f>IFERROR(INDEX('6. Levels'!$R:$R,MATCH($J13,'6. Levels'!$T:$T,0)),"")</f>
        <v/>
      </c>
      <c r="G13" s="9">
        <f>IFERROR(INDEX('6. Levels'!$S:$S,MATCH($J13,'6. Levels'!$T:$T,0)),"")</f>
        <v/>
      </c>
      <c r="I13" s="17">
        <f>IFERROR('2. Projects'!$A$10,"")</f>
        <v/>
      </c>
      <c r="J13" s="17">
        <f>IF($I13="","",$I13&amp;"|"&amp;$B$3)</f>
        <v/>
      </c>
    </row>
    <row r="14">
      <c r="A14" s="38">
        <f>IFERROR('2. Projects'!$B$11,"")</f>
        <v/>
      </c>
      <c r="B14" s="9">
        <f>IFERROR(INDEX('6. Levels'!$N:$N,MATCH($J14,'6. Levels'!$T:$T,0)),"")</f>
        <v/>
      </c>
      <c r="C14" s="9">
        <f>IFERROR(INDEX('6. Levels'!$O:$O,MATCH($J14,'6. Levels'!$T:$T,0)),"")</f>
        <v/>
      </c>
      <c r="D14" s="9">
        <f>IFERROR(INDEX('6. Levels'!$P:$P,MATCH($J14,'6. Levels'!$T:$T,0)),"")</f>
        <v/>
      </c>
      <c r="E14" s="9">
        <f>IFERROR(INDEX('6. Levels'!$Q:$Q,MATCH($J14,'6. Levels'!$T:$T,0)),"")</f>
        <v/>
      </c>
      <c r="F14" s="9">
        <f>IFERROR(INDEX('6. Levels'!$R:$R,MATCH($J14,'6. Levels'!$T:$T,0)),"")</f>
        <v/>
      </c>
      <c r="G14" s="9">
        <f>IFERROR(INDEX('6. Levels'!$S:$S,MATCH($J14,'6. Levels'!$T:$T,0)),"")</f>
        <v/>
      </c>
      <c r="I14" s="17">
        <f>IFERROR('2. Projects'!$A$11,"")</f>
        <v/>
      </c>
      <c r="J14" s="17">
        <f>IF($I14="","",$I14&amp;"|"&amp;$B$3)</f>
        <v/>
      </c>
    </row>
    <row r="15">
      <c r="A15" s="38">
        <f>IFERROR('2. Projects'!$B$12,"")</f>
        <v/>
      </c>
      <c r="B15" s="9">
        <f>IFERROR(INDEX('6. Levels'!$N:$N,MATCH($J15,'6. Levels'!$T:$T,0)),"")</f>
        <v/>
      </c>
      <c r="C15" s="9">
        <f>IFERROR(INDEX('6. Levels'!$O:$O,MATCH($J15,'6. Levels'!$T:$T,0)),"")</f>
        <v/>
      </c>
      <c r="D15" s="9">
        <f>IFERROR(INDEX('6. Levels'!$P:$P,MATCH($J15,'6. Levels'!$T:$T,0)),"")</f>
        <v/>
      </c>
      <c r="E15" s="9">
        <f>IFERROR(INDEX('6. Levels'!$Q:$Q,MATCH($J15,'6. Levels'!$T:$T,0)),"")</f>
        <v/>
      </c>
      <c r="F15" s="9">
        <f>IFERROR(INDEX('6. Levels'!$R:$R,MATCH($J15,'6. Levels'!$T:$T,0)),"")</f>
        <v/>
      </c>
      <c r="G15" s="9">
        <f>IFERROR(INDEX('6. Levels'!$S:$S,MATCH($J15,'6. Levels'!$T:$T,0)),"")</f>
        <v/>
      </c>
      <c r="I15" s="17">
        <f>IFERROR('2. Projects'!$A$12,"")</f>
        <v/>
      </c>
      <c r="J15" s="17">
        <f>IF($I15="","",$I15&amp;"|"&amp;$B$3)</f>
        <v/>
      </c>
    </row>
    <row r="16">
      <c r="A16" s="38">
        <f>IFERROR('2. Projects'!$B$13,"")</f>
        <v/>
      </c>
      <c r="B16" s="9">
        <f>IFERROR(INDEX('6. Levels'!$N:$N,MATCH($J16,'6. Levels'!$T:$T,0)),"")</f>
        <v/>
      </c>
      <c r="C16" s="9">
        <f>IFERROR(INDEX('6. Levels'!$O:$O,MATCH($J16,'6. Levels'!$T:$T,0)),"")</f>
        <v/>
      </c>
      <c r="D16" s="9">
        <f>IFERROR(INDEX('6. Levels'!$P:$P,MATCH($J16,'6. Levels'!$T:$T,0)),"")</f>
        <v/>
      </c>
      <c r="E16" s="9">
        <f>IFERROR(INDEX('6. Levels'!$Q:$Q,MATCH($J16,'6. Levels'!$T:$T,0)),"")</f>
        <v/>
      </c>
      <c r="F16" s="9">
        <f>IFERROR(INDEX('6. Levels'!$R:$R,MATCH($J16,'6. Levels'!$T:$T,0)),"")</f>
        <v/>
      </c>
      <c r="G16" s="9">
        <f>IFERROR(INDEX('6. Levels'!$S:$S,MATCH($J16,'6. Levels'!$T:$T,0)),"")</f>
        <v/>
      </c>
      <c r="I16" s="17">
        <f>IFERROR('2. Projects'!$A$13,"")</f>
        <v/>
      </c>
      <c r="J16" s="17">
        <f>IF($I16="","",$I16&amp;"|"&amp;$B$3)</f>
        <v/>
      </c>
    </row>
    <row r="17">
      <c r="A17" s="38">
        <f>IFERROR('2. Projects'!$B$14,"")</f>
        <v/>
      </c>
      <c r="B17" s="9">
        <f>IFERROR(INDEX('6. Levels'!$N:$N,MATCH($J17,'6. Levels'!$T:$T,0)),"")</f>
        <v/>
      </c>
      <c r="C17" s="9">
        <f>IFERROR(INDEX('6. Levels'!$O:$O,MATCH($J17,'6. Levels'!$T:$T,0)),"")</f>
        <v/>
      </c>
      <c r="D17" s="9">
        <f>IFERROR(INDEX('6. Levels'!$P:$P,MATCH($J17,'6. Levels'!$T:$T,0)),"")</f>
        <v/>
      </c>
      <c r="E17" s="9">
        <f>IFERROR(INDEX('6. Levels'!$Q:$Q,MATCH($J17,'6. Levels'!$T:$T,0)),"")</f>
        <v/>
      </c>
      <c r="F17" s="9">
        <f>IFERROR(INDEX('6. Levels'!$R:$R,MATCH($J17,'6. Levels'!$T:$T,0)),"")</f>
        <v/>
      </c>
      <c r="G17" s="9">
        <f>IFERROR(INDEX('6. Levels'!$S:$S,MATCH($J17,'6. Levels'!$T:$T,0)),"")</f>
        <v/>
      </c>
      <c r="I17" s="17">
        <f>IFERROR('2. Projects'!$A$14,"")</f>
        <v/>
      </c>
      <c r="J17" s="17">
        <f>IF($I17="","",$I17&amp;"|"&amp;$B$3)</f>
        <v/>
      </c>
    </row>
  </sheetData>
  <conditionalFormatting sqref="B6:G1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sqref="B3" showDropDown="0" showInputMessage="0" showErrorMessage="0" allowBlank="0" type="list">
      <formula1>"2026-Q1,2026-Q2,2026-Q3,2026-Q4"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2026-07-01T06:58:25Z</dcterms:created>
  <dcterms:modified xmlns:dcterms="http://purl.org/dc/terms/" xmlns:xsi="http://www.w3.org/2001/XMLSchema-instance" xsi:type="dcterms:W3CDTF">2026-07-02T04:15:57Z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0x010100F61A34A40646F441ACC663D98CD8DE39</vt:lpwstr>
  </property>
  <property name="MediaServiceImageTags" fmtid="{D5CDD505-2E9C-101B-9397-08002B2CF9AE}" pid="3">
    <vt:lpwstr xmlns:vt="http://schemas.openxmlformats.org/officeDocument/2006/docPropsVTypes"/>
  </property>
</Properties>
</file>